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nner\Documents\git\ePC-SAFT\workbooks\"/>
    </mc:Choice>
  </mc:AlternateContent>
  <xr:revisionPtr revIDLastSave="0" documentId="8_{8D094596-F963-481A-8F50-E6E388A2B8BD}" xr6:coauthVersionLast="47" xr6:coauthVersionMax="47" xr10:uidLastSave="{00000000-0000-0000-0000-000000000000}"/>
  <bookViews>
    <workbookView xWindow="-108" yWindow="-108" windowWidth="30936" windowHeight="16776" firstSheet="3" activeTab="6" xr2:uid="{00000000-000D-0000-FFFF-FFFF00000000}"/>
  </bookViews>
  <sheets>
    <sheet name="References" sheetId="20" r:id="rId1"/>
    <sheet name="UDF Information" sheetId="24" r:id="rId2"/>
    <sheet name="PC-SAFT Helmholtz Free Energy" sheetId="15" r:id="rId3"/>
    <sheet name="PC-SAFT Compressibility Factor" sheetId="21" r:id="rId4"/>
    <sheet name="PC-SAFT Enthalpy and Entropy" sheetId="22" r:id="rId5"/>
    <sheet name="PC-SAFT Fugacity Coefficients" sheetId="26" r:id="rId6"/>
    <sheet name="PC-SAFT VLE" sheetId="28" r:id="rId7"/>
    <sheet name="PC-SAFT Liquid" sheetId="29" r:id="rId8"/>
    <sheet name="PC-SAFT Vapour" sheetId="30" r:id="rId9"/>
  </sheets>
  <functionGroups builtInGroupCount="19"/>
  <definedNames>
    <definedName name="_R" localSheetId="8">#REF!</definedName>
    <definedName name="_R" localSheetId="6">#REF!</definedName>
    <definedName name="_R">#REF!</definedName>
    <definedName name="A" localSheetId="8">#REF!</definedName>
    <definedName name="A" localSheetId="6">#REF!</definedName>
    <definedName name="A">#REF!</definedName>
    <definedName name="ac" localSheetId="8">#REF!</definedName>
    <definedName name="ac" localSheetId="6">#REF!</definedName>
    <definedName name="ac">#REF!</definedName>
    <definedName name="Ai" localSheetId="8">#REF!</definedName>
    <definedName name="Ai" localSheetId="6">#REF!</definedName>
    <definedName name="Ai">#REF!</definedName>
    <definedName name="alpha" localSheetId="8">#REF!</definedName>
    <definedName name="alpha" localSheetId="6">#REF!</definedName>
    <definedName name="alpha">#REF!</definedName>
    <definedName name="Amatrix" localSheetId="8">#REF!</definedName>
    <definedName name="Amatrix" localSheetId="6">#REF!</definedName>
    <definedName name="Amatrix">#REF!</definedName>
    <definedName name="B" localSheetId="8">#REF!</definedName>
    <definedName name="B" localSheetId="6">#REF!</definedName>
    <definedName name="B">#REF!</definedName>
    <definedName name="Bi" localSheetId="8">#REF!</definedName>
    <definedName name="Bi" localSheetId="6">#REF!</definedName>
    <definedName name="Bi">#REF!</definedName>
    <definedName name="crange" localSheetId="8">#REF!</definedName>
    <definedName name="crange" localSheetId="6">#REF!</definedName>
    <definedName name="crange">#REF!</definedName>
    <definedName name="kappa" localSheetId="8">#REF!</definedName>
    <definedName name="kappa" localSheetId="6">#REF!</definedName>
    <definedName name="kappa">#REF!</definedName>
    <definedName name="P" localSheetId="8">#REF!</definedName>
    <definedName name="P" localSheetId="6">#REF!</definedName>
    <definedName name="P">#REF!</definedName>
    <definedName name="Pc" localSheetId="8">#REF!</definedName>
    <definedName name="Pc" localSheetId="6">#REF!</definedName>
    <definedName name="Pc">#REF!</definedName>
    <definedName name="Poly1" localSheetId="8">#REF!</definedName>
    <definedName name="Poly1" localSheetId="6">#REF!</definedName>
    <definedName name="Poly1">#REF!</definedName>
    <definedName name="Poly2" localSheetId="8">#REF!</definedName>
    <definedName name="Poly2" localSheetId="6">#REF!</definedName>
    <definedName name="Poly2">#REF!</definedName>
    <definedName name="Pr" localSheetId="8">#REF!</definedName>
    <definedName name="Pr" localSheetId="6">#REF!</definedName>
    <definedName name="Pr">#REF!</definedName>
    <definedName name="PRange" localSheetId="8">#REF!</definedName>
    <definedName name="PRange" localSheetId="6">#REF!</definedName>
    <definedName name="PRange">#REF!</definedName>
    <definedName name="q" localSheetId="8">#REF!</definedName>
    <definedName name="q" localSheetId="6">#REF!</definedName>
    <definedName name="q">#REF!</definedName>
    <definedName name="ResRange" localSheetId="8">#REF!</definedName>
    <definedName name="ResRange" localSheetId="6">#REF!</definedName>
    <definedName name="ResRange">#REF!</definedName>
    <definedName name="solver_adj" localSheetId="3" hidden="1">'PC-SAFT Compressibility Factor'!#REF!</definedName>
    <definedName name="solver_adj" localSheetId="4" hidden="1">'PC-SAFT Enthalpy and Entropy'!#REF!</definedName>
    <definedName name="solver_adj" localSheetId="5" hidden="1">'PC-SAFT Fugacity Coefficients'!#REF!</definedName>
    <definedName name="solver_adj" localSheetId="2" hidden="1">'PC-SAFT Helmholtz Free Energy'!#REF!</definedName>
    <definedName name="solver_adj" localSheetId="7" hidden="1">'PC-SAFT Liquid'!#REF!</definedName>
    <definedName name="solver_adj" localSheetId="8" hidden="1">'PC-SAFT Vapour'!#REF!</definedName>
    <definedName name="solver_cvg" localSheetId="3" hidden="1">0.00000000000001</definedName>
    <definedName name="solver_cvg" localSheetId="4" hidden="1">0.00000000000001</definedName>
    <definedName name="solver_cvg" localSheetId="5" hidden="1">0.00000000000001</definedName>
    <definedName name="solver_cvg" localSheetId="2" hidden="1">0.00000000000001</definedName>
    <definedName name="solver_cvg" localSheetId="7" hidden="1">0.00000000000001</definedName>
    <definedName name="solver_cvg" localSheetId="8" hidden="1">0.00000000000001</definedName>
    <definedName name="solver_cvg" localSheetId="6" hidden="1">0.0001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2" hidden="1">1</definedName>
    <definedName name="solver_drv" localSheetId="7" hidden="1">1</definedName>
    <definedName name="solver_drv" localSheetId="8" hidden="1">1</definedName>
    <definedName name="solver_drv" localSheetId="6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2" hidden="1">1</definedName>
    <definedName name="solver_eng" localSheetId="7" hidden="1">1</definedName>
    <definedName name="solver_eng" localSheetId="8" hidden="1">1</definedName>
    <definedName name="solver_eng" localSheetId="6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2" hidden="1">1</definedName>
    <definedName name="solver_est" localSheetId="7" hidden="1">1</definedName>
    <definedName name="solver_est" localSheetId="8" hidden="1">1</definedName>
    <definedName name="solver_est" localSheetId="6" hidden="1">1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2" hidden="1">2147483647</definedName>
    <definedName name="solver_itr" localSheetId="7" hidden="1">2147483647</definedName>
    <definedName name="solver_itr" localSheetId="8" hidden="1">2147483647</definedName>
    <definedName name="solver_itr" localSheetId="6" hidden="1">2147483647</definedName>
    <definedName name="solver_lhs1" localSheetId="6" hidden="1">'PC-SAFT VLE'!$F$3</definedName>
    <definedName name="solver_lhs2" localSheetId="6" hidden="1">'PC-SAFT VLE'!$H$9</definedName>
    <definedName name="solver_lhs3" localSheetId="6" hidden="1">'PC-SAFT VLE'!$H$9</definedName>
    <definedName name="solver_lhs4" localSheetId="6" hidden="1">'PC-SAFT VLE'!$H$9</definedName>
    <definedName name="solver_lhs5" localSheetId="6" hidden="1">'PC-SAFT VLE'!$H$9</definedName>
    <definedName name="solver_lhs6" localSheetId="6" hidden="1">'PC-SAFT VLE'!$H$9</definedName>
    <definedName name="solver_lhs7" localSheetId="6" hidden="1">'PC-SAFT VLE'!$H$9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2" hidden="1">2147483647</definedName>
    <definedName name="solver_mip" localSheetId="7" hidden="1">2147483647</definedName>
    <definedName name="solver_mip" localSheetId="8" hidden="1">2147483647</definedName>
    <definedName name="solver_mip" localSheetId="6" hidden="1">2147483647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2" hidden="1">30</definedName>
    <definedName name="solver_mni" localSheetId="7" hidden="1">30</definedName>
    <definedName name="solver_mni" localSheetId="8" hidden="1">30</definedName>
    <definedName name="solver_mni" localSheetId="6" hidden="1">30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2" hidden="1">0.075</definedName>
    <definedName name="solver_mrt" localSheetId="7" hidden="1">0.075</definedName>
    <definedName name="solver_mrt" localSheetId="8" hidden="1">0.075</definedName>
    <definedName name="solver_mrt" localSheetId="6" hidden="1">0.075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2" hidden="1">2</definedName>
    <definedName name="solver_msl" localSheetId="7" hidden="1">2</definedName>
    <definedName name="solver_msl" localSheetId="8" hidden="1">2</definedName>
    <definedName name="solver_msl" localSheetId="6" hidden="1">2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2" hidden="1">1</definedName>
    <definedName name="solver_neg" localSheetId="7" hidden="1">1</definedName>
    <definedName name="solver_neg" localSheetId="8" hidden="1">1</definedName>
    <definedName name="solver_neg" localSheetId="6" hidden="1">1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2" hidden="1">2147483647</definedName>
    <definedName name="solver_nod" localSheetId="7" hidden="1">2147483647</definedName>
    <definedName name="solver_nod" localSheetId="8" hidden="1">2147483647</definedName>
    <definedName name="solver_nod" localSheetId="6" hidden="1">2147483647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2" hidden="1">0</definedName>
    <definedName name="solver_num" localSheetId="7" hidden="1">0</definedName>
    <definedName name="solver_num" localSheetId="8" hidden="1">0</definedName>
    <definedName name="solver_num" localSheetId="6" hidden="1">0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2" hidden="1">1</definedName>
    <definedName name="solver_nwt" localSheetId="7" hidden="1">1</definedName>
    <definedName name="solver_nwt" localSheetId="8" hidden="1">1</definedName>
    <definedName name="solver_nwt" localSheetId="6" hidden="1">1</definedName>
    <definedName name="solver_opt" localSheetId="3" hidden="1">'PC-SAFT Compressibility Factor'!#REF!</definedName>
    <definedName name="solver_opt" localSheetId="4" hidden="1">'PC-SAFT Enthalpy and Entropy'!#REF!</definedName>
    <definedName name="solver_opt" localSheetId="5" hidden="1">'PC-SAFT Fugacity Coefficients'!#REF!</definedName>
    <definedName name="solver_opt" localSheetId="2" hidden="1">'PC-SAFT Helmholtz Free Energy'!#REF!</definedName>
    <definedName name="solver_opt" localSheetId="7" hidden="1">'PC-SAFT Liquid'!#REF!</definedName>
    <definedName name="solver_opt" localSheetId="8" hidden="1">'PC-SAFT Vapour'!#REF!</definedName>
    <definedName name="solver_pre" localSheetId="3" hidden="1">0.000000000000001</definedName>
    <definedName name="solver_pre" localSheetId="4" hidden="1">0.000000000000001</definedName>
    <definedName name="solver_pre" localSheetId="5" hidden="1">0.000000000000001</definedName>
    <definedName name="solver_pre" localSheetId="2" hidden="1">0.000000000000001</definedName>
    <definedName name="solver_pre" localSheetId="7" hidden="1">0.000000000000001</definedName>
    <definedName name="solver_pre" localSheetId="8" hidden="1">0.000000000000001</definedName>
    <definedName name="solver_pre" localSheetId="6" hidden="1">0.000001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2" hidden="1">1</definedName>
    <definedName name="solver_rbv" localSheetId="7" hidden="1">1</definedName>
    <definedName name="solver_rbv" localSheetId="8" hidden="1">1</definedName>
    <definedName name="solver_rbv" localSheetId="6" hidden="1">1</definedName>
    <definedName name="solver_rel1" localSheetId="6" hidden="1">3</definedName>
    <definedName name="solver_rel2" localSheetId="6" hidden="1">2</definedName>
    <definedName name="solver_rel3" localSheetId="6" hidden="1">2</definedName>
    <definedName name="solver_rel4" localSheetId="6" hidden="1">2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hs1" localSheetId="6" hidden="1">'PC-SAFT VLE'!$H$3</definedName>
    <definedName name="solver_rhs2" localSheetId="6" hidden="1">'PC-SAFT VLE'!$D$9</definedName>
    <definedName name="solver_rhs3" localSheetId="6" hidden="1">'PC-SAFT VLE'!$D$9</definedName>
    <definedName name="solver_rhs4" localSheetId="6" hidden="1">'PC-SAFT VLE'!$D$9</definedName>
    <definedName name="solver_rhs5" localSheetId="6" hidden="1">'PC-SAFT VLE'!$D$9</definedName>
    <definedName name="solver_rhs6" localSheetId="6" hidden="1">'PC-SAFT VLE'!$D$9</definedName>
    <definedName name="solver_rhs7" localSheetId="6" hidden="1">'PC-SAFT VLE'!$D$9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2" hidden="1">2</definedName>
    <definedName name="solver_rlx" localSheetId="7" hidden="1">2</definedName>
    <definedName name="solver_rlx" localSheetId="8" hidden="1">2</definedName>
    <definedName name="solver_rlx" localSheetId="6" hidden="1">2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2" hidden="1">0</definedName>
    <definedName name="solver_rsd" localSheetId="7" hidden="1">0</definedName>
    <definedName name="solver_rsd" localSheetId="8" hidden="1">0</definedName>
    <definedName name="solver_rsd" localSheetId="6" hidden="1">0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2" hidden="1">1</definedName>
    <definedName name="solver_scl" localSheetId="7" hidden="1">1</definedName>
    <definedName name="solver_scl" localSheetId="8" hidden="1">1</definedName>
    <definedName name="solver_scl" localSheetId="6" hidden="1">1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2" hidden="1">2</definedName>
    <definedName name="solver_sho" localSheetId="7" hidden="1">2</definedName>
    <definedName name="solver_sho" localSheetId="8" hidden="1">2</definedName>
    <definedName name="solver_sho" localSheetId="6" hidden="1">2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2" hidden="1">100</definedName>
    <definedName name="solver_ssz" localSheetId="7" hidden="1">100</definedName>
    <definedName name="solver_ssz" localSheetId="8" hidden="1">100</definedName>
    <definedName name="solver_ssz" localSheetId="6" hidden="1">100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2" hidden="1">2147483647</definedName>
    <definedName name="solver_tim" localSheetId="7" hidden="1">2147483647</definedName>
    <definedName name="solver_tim" localSheetId="8" hidden="1">2147483647</definedName>
    <definedName name="solver_tim" localSheetId="6" hidden="1">2147483647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2" hidden="1">0.01</definedName>
    <definedName name="solver_tol" localSheetId="7" hidden="1">0.01</definedName>
    <definedName name="solver_tol" localSheetId="8" hidden="1">0.01</definedName>
    <definedName name="solver_tol" localSheetId="6" hidden="1">0.01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typ" localSheetId="2" hidden="1">3</definedName>
    <definedName name="solver_typ" localSheetId="7" hidden="1">3</definedName>
    <definedName name="solver_typ" localSheetId="8" hidden="1">3</definedName>
    <definedName name="solver_typ" localSheetId="6" hidden="1">3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2" hidden="1">0</definedName>
    <definedName name="solver_val" localSheetId="7" hidden="1">0</definedName>
    <definedName name="solver_val" localSheetId="8" hidden="1">0</definedName>
    <definedName name="solver_val" localSheetId="6" hidden="1">0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2" hidden="1">3</definedName>
    <definedName name="solver_ver" localSheetId="7" hidden="1">3</definedName>
    <definedName name="solver_ver" localSheetId="8" hidden="1">3</definedName>
    <definedName name="solver_ver" localSheetId="6" hidden="1">3</definedName>
    <definedName name="Tc" localSheetId="8">#REF!</definedName>
    <definedName name="Tc" localSheetId="6">#REF!</definedName>
    <definedName name="Tc">#REF!</definedName>
    <definedName name="temp" localSheetId="8">#REF!</definedName>
    <definedName name="temp" localSheetId="6">#REF!</definedName>
    <definedName name="temp">#REF!</definedName>
    <definedName name="TempRes" localSheetId="8">#REF!</definedName>
    <definedName name="TempRes" localSheetId="6">#REF!</definedName>
    <definedName name="TempRes">#REF!</definedName>
    <definedName name="TemRes" localSheetId="8">#REF!</definedName>
    <definedName name="TemRes" localSheetId="6">#REF!</definedName>
    <definedName name="TemRes">#REF!</definedName>
    <definedName name="TK" localSheetId="8">#REF!</definedName>
    <definedName name="TK" localSheetId="6">#REF!</definedName>
    <definedName name="TK">#REF!</definedName>
    <definedName name="Tr" localSheetId="8">#REF!</definedName>
    <definedName name="Tr" localSheetId="6">#REF!</definedName>
    <definedName name="Tr">#REF!</definedName>
    <definedName name="w" localSheetId="8">#REF!</definedName>
    <definedName name="w" localSheetId="6">#REF!</definedName>
    <definedName name="w">#REF!</definedName>
    <definedName name="Z" localSheetId="8">#REF!</definedName>
    <definedName name="Z" localSheetId="6">#REF!</definedName>
    <definedName name="Z">#REF!</definedName>
    <definedName name="zi" localSheetId="8">#REF!</definedName>
    <definedName name="zi" localSheetId="6">#REF!</definedName>
    <definedName name="z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9" l="1"/>
  <c r="I16" i="30"/>
  <c r="I15" i="30"/>
  <c r="H15" i="30"/>
  <c r="B15" i="30" a="1"/>
  <c r="D15" i="30" s="1"/>
  <c r="B7" i="30"/>
  <c r="B6" i="30"/>
  <c r="D19" i="30" s="1"/>
  <c r="I16" i="29"/>
  <c r="I15" i="29"/>
  <c r="H15" i="29"/>
  <c r="B15" i="29" a="1"/>
  <c r="D15" i="29" s="1"/>
  <c r="B7" i="29"/>
  <c r="B6" i="29"/>
  <c r="D19" i="29" s="1"/>
  <c r="D10" i="28"/>
  <c r="C10" i="28"/>
  <c r="N17" i="29" l="1"/>
  <c r="N18" i="29" s="1"/>
  <c r="N19" i="29" s="1"/>
  <c r="N20" i="29" s="1"/>
  <c r="N41" i="29"/>
  <c r="M38" i="29"/>
  <c r="N42" i="29" s="1"/>
  <c r="N29" i="29"/>
  <c r="N30" i="29" s="1"/>
  <c r="N31" i="29" s="1"/>
  <c r="N32" i="29" s="1"/>
  <c r="N43" i="29"/>
  <c r="N17" i="30"/>
  <c r="N18" i="30" s="1"/>
  <c r="N19" i="30" s="1"/>
  <c r="N20" i="30" s="1"/>
  <c r="M38" i="30"/>
  <c r="N44" i="30" s="1"/>
  <c r="N43" i="30"/>
  <c r="N29" i="30"/>
  <c r="N30" i="30" s="1"/>
  <c r="N31" i="30" s="1"/>
  <c r="N32" i="30" s="1"/>
  <c r="B15" i="29"/>
  <c r="C15" i="29"/>
  <c r="B15" i="30"/>
  <c r="C15" i="30"/>
  <c r="B19" i="29"/>
  <c r="C19" i="29"/>
  <c r="B19" i="30"/>
  <c r="C19" i="30"/>
  <c r="M17" i="29" l="1"/>
  <c r="M18" i="29" s="1"/>
  <c r="M19" i="29" s="1"/>
  <c r="M20" i="29" s="1"/>
  <c r="M26" i="29"/>
  <c r="M31" i="29"/>
  <c r="M41" i="29"/>
  <c r="M42" i="29" s="1"/>
  <c r="M43" i="29" s="1"/>
  <c r="M44" i="29" s="1"/>
  <c r="M29" i="29"/>
  <c r="M30" i="29"/>
  <c r="M32" i="29"/>
  <c r="L29" i="29"/>
  <c r="L30" i="29" s="1"/>
  <c r="L31" i="29" s="1"/>
  <c r="L32" i="29" s="1"/>
  <c r="L17" i="29"/>
  <c r="B8" i="29"/>
  <c r="L19" i="29"/>
  <c r="L20" i="29"/>
  <c r="M14" i="29"/>
  <c r="L41" i="29"/>
  <c r="L42" i="29" s="1"/>
  <c r="L43" i="29" s="1"/>
  <c r="L44" i="29" s="1"/>
  <c r="L18" i="29"/>
  <c r="N44" i="29"/>
  <c r="N41" i="30"/>
  <c r="M41" i="30"/>
  <c r="M42" i="30" s="1"/>
  <c r="M43" i="30" s="1"/>
  <c r="M44" i="30" s="1"/>
  <c r="M26" i="30"/>
  <c r="M31" i="30" s="1"/>
  <c r="M32" i="30"/>
  <c r="M17" i="30"/>
  <c r="M18" i="30" s="1"/>
  <c r="M19" i="30" s="1"/>
  <c r="M20" i="30" s="1"/>
  <c r="N42" i="30"/>
  <c r="L29" i="30"/>
  <c r="L30" i="30" s="1"/>
  <c r="L31" i="30" s="1"/>
  <c r="L32" i="30" s="1"/>
  <c r="L41" i="30"/>
  <c r="L42" i="30" s="1"/>
  <c r="L43" i="30" s="1"/>
  <c r="L44" i="30" s="1"/>
  <c r="B8" i="30"/>
  <c r="M14" i="30"/>
  <c r="L20" i="30" s="1"/>
  <c r="O17" i="29"/>
  <c r="O29" i="29"/>
  <c r="O43" i="29"/>
  <c r="O42" i="29"/>
  <c r="O30" i="29"/>
  <c r="O41" i="29"/>
  <c r="O44" i="29"/>
  <c r="T13" i="29"/>
  <c r="O19" i="29"/>
  <c r="O20" i="29"/>
  <c r="T15" i="29"/>
  <c r="O18" i="29"/>
  <c r="O31" i="29"/>
  <c r="O32" i="29"/>
  <c r="O42" i="30"/>
  <c r="O32" i="30"/>
  <c r="O43" i="30"/>
  <c r="O31" i="30"/>
  <c r="O20" i="30"/>
  <c r="T13" i="30"/>
  <c r="T15" i="30"/>
  <c r="O41" i="30"/>
  <c r="O44" i="30"/>
  <c r="M47" i="30" l="1"/>
  <c r="T17" i="30"/>
  <c r="G4" i="28" s="1"/>
  <c r="M35" i="29"/>
  <c r="T17" i="29"/>
  <c r="G3" i="28" s="1"/>
  <c r="M23" i="29"/>
  <c r="T19" i="29" s="1"/>
  <c r="E7" i="28" s="1"/>
  <c r="T21" i="29"/>
  <c r="E9" i="28" s="1"/>
  <c r="M47" i="29"/>
  <c r="M30" i="30"/>
  <c r="B9" i="30"/>
  <c r="B9" i="29"/>
  <c r="L17" i="30"/>
  <c r="L19" i="30"/>
  <c r="M29" i="30"/>
  <c r="L18" i="30"/>
  <c r="O18" i="30"/>
  <c r="O19" i="30"/>
  <c r="O30" i="30"/>
  <c r="O17" i="30"/>
  <c r="O29" i="30"/>
  <c r="T20" i="29" l="1"/>
  <c r="E8" i="28" s="1"/>
  <c r="M35" i="30"/>
  <c r="M23" i="30"/>
  <c r="T21" i="30" l="1"/>
  <c r="F9" i="28" s="1"/>
  <c r="G9" i="28" s="1"/>
  <c r="T19" i="30"/>
  <c r="F7" i="28" s="1"/>
  <c r="G7" i="28" s="1"/>
  <c r="T20" i="30"/>
  <c r="F8" i="28" s="1"/>
  <c r="G8" i="28" s="1"/>
  <c r="G10" i="28" l="1"/>
  <c r="G12" i="28" s="1"/>
  <c r="H9" i="28" l="1"/>
  <c r="H7" i="28"/>
  <c r="H8" i="28"/>
  <c r="H10" i="28" l="1"/>
  <c r="M14" i="26" l="1"/>
  <c r="L17" i="26" s="1"/>
  <c r="H15" i="26"/>
  <c r="I15" i="26"/>
  <c r="I16" i="26"/>
  <c r="M17" i="26"/>
  <c r="M18" i="26" s="1"/>
  <c r="M19" i="26" s="1"/>
  <c r="N17" i="26"/>
  <c r="N18" i="26" s="1"/>
  <c r="N19" i="26" s="1"/>
  <c r="B19" i="26"/>
  <c r="C19" i="26"/>
  <c r="D19" i="26"/>
  <c r="P17" i="26"/>
  <c r="B8" i="26" l="1" a="1"/>
  <c r="B8" i="26" s="1"/>
  <c r="D8" i="26" a="1"/>
  <c r="D8" i="26" s="1"/>
  <c r="L19" i="26"/>
  <c r="O19" i="26" s="1" a="1"/>
  <c r="O19" i="26" s="1"/>
  <c r="L18" i="26"/>
  <c r="L20" i="26"/>
  <c r="M20" i="26"/>
  <c r="N20" i="26"/>
  <c r="U15" i="26"/>
  <c r="U13" i="26"/>
  <c r="P19" i="26"/>
  <c r="P18" i="26"/>
  <c r="U17" i="26" l="1"/>
  <c r="B9" i="26"/>
  <c r="M26" i="26"/>
  <c r="M29" i="26" s="1"/>
  <c r="L29" i="26"/>
  <c r="N29" i="26"/>
  <c r="P20" i="26"/>
  <c r="M23" i="26" l="1"/>
  <c r="L30" i="26"/>
  <c r="M30" i="26"/>
  <c r="N30" i="26"/>
  <c r="N31" i="26" s="1"/>
  <c r="N32" i="26" s="1"/>
  <c r="M31" i="26"/>
  <c r="M32" i="26"/>
  <c r="M38" i="26"/>
  <c r="N41" i="26" s="1"/>
  <c r="L41" i="26"/>
  <c r="M41" i="26"/>
  <c r="P29" i="26"/>
  <c r="L31" i="26" l="1"/>
  <c r="X25" i="26"/>
  <c r="L42" i="26"/>
  <c r="M42" i="26"/>
  <c r="M43" i="26" s="1"/>
  <c r="M44" i="26" s="1"/>
  <c r="N42" i="26"/>
  <c r="N43" i="26"/>
  <c r="N44" i="26"/>
  <c r="P30" i="26"/>
  <c r="P41" i="26"/>
  <c r="P42" i="26"/>
  <c r="L43" i="26" l="1"/>
  <c r="L32" i="26"/>
  <c r="P32" i="26"/>
  <c r="P31" i="26"/>
  <c r="M35" i="26" l="1"/>
  <c r="L44" i="26"/>
  <c r="O29" i="15"/>
  <c r="O28" i="15"/>
  <c r="N28" i="15"/>
  <c r="I16" i="21"/>
  <c r="I15" i="21"/>
  <c r="H15" i="21"/>
  <c r="I16" i="22"/>
  <c r="I15" i="22"/>
  <c r="H15" i="22"/>
  <c r="P44" i="26"/>
  <c r="P43" i="26"/>
  <c r="M47" i="26" l="1"/>
  <c r="U25" i="26" s="1"/>
  <c r="V25" i="26" s="1"/>
  <c r="Y25" i="26"/>
  <c r="Q14" i="22"/>
  <c r="L20" i="22" s="1"/>
  <c r="D19" i="22"/>
  <c r="C19" i="22"/>
  <c r="B19" i="22"/>
  <c r="B8" i="22" s="1"/>
  <c r="Q26" i="22"/>
  <c r="Q28" i="22"/>
  <c r="U20" i="26" l="1"/>
  <c r="U24" i="26"/>
  <c r="V24" i="26" s="1"/>
  <c r="U19" i="26"/>
  <c r="X24" i="26"/>
  <c r="U21" i="26"/>
  <c r="Z25" i="26"/>
  <c r="U26" i="26"/>
  <c r="V26" i="26" s="1"/>
  <c r="O20" i="22"/>
  <c r="N20" i="22"/>
  <c r="M20" i="22"/>
  <c r="B9" i="22"/>
  <c r="L17" i="22"/>
  <c r="L18" i="22"/>
  <c r="L19" i="22"/>
  <c r="M14" i="21"/>
  <c r="L20" i="21" s="1"/>
  <c r="Q20" i="22"/>
  <c r="M19" i="22" l="1"/>
  <c r="N19" i="22"/>
  <c r="O19" i="22"/>
  <c r="O17" i="22"/>
  <c r="M17" i="22"/>
  <c r="N17" i="22"/>
  <c r="M18" i="22"/>
  <c r="N18" i="22"/>
  <c r="O18" i="22"/>
  <c r="L17" i="21"/>
  <c r="L18" i="21"/>
  <c r="L19" i="21"/>
  <c r="B19" i="21"/>
  <c r="C19" i="21"/>
  <c r="D19" i="21"/>
  <c r="Q17" i="22"/>
  <c r="M17" i="21" l="1"/>
  <c r="M18" i="21"/>
  <c r="M20" i="21"/>
  <c r="M19" i="21"/>
  <c r="B8" i="21"/>
  <c r="N20" i="21"/>
  <c r="Q19" i="22"/>
  <c r="N19" i="21"/>
  <c r="N17" i="21"/>
  <c r="Q18" i="22"/>
  <c r="N18" i="21"/>
  <c r="Q23" i="22" l="1"/>
  <c r="N23" i="21"/>
  <c r="N26" i="21" s="1"/>
  <c r="B9" i="21"/>
  <c r="M33" i="15"/>
  <c r="L34" i="15" s="1"/>
  <c r="N33" i="15"/>
  <c r="L35" i="15" s="1"/>
  <c r="O33" i="15"/>
  <c r="L36" i="15" s="1"/>
  <c r="O36" i="15" s="1"/>
  <c r="B19" i="15"/>
  <c r="R48" i="15"/>
  <c r="R47" i="15"/>
  <c r="R46" i="15"/>
  <c r="R42" i="15"/>
  <c r="R41" i="15"/>
  <c r="R40" i="15"/>
  <c r="O39" i="15"/>
  <c r="L42" i="15" s="1"/>
  <c r="N39" i="15"/>
  <c r="M39" i="15"/>
  <c r="U33" i="15"/>
  <c r="R36" i="15" s="1"/>
  <c r="T33" i="15"/>
  <c r="R35" i="15" s="1"/>
  <c r="S33" i="15"/>
  <c r="U27" i="15"/>
  <c r="T27" i="15"/>
  <c r="R29" i="15" s="1"/>
  <c r="S27" i="15"/>
  <c r="R28" i="15" s="1"/>
  <c r="S28" i="15" s="1"/>
  <c r="D21" i="15"/>
  <c r="C21" i="15"/>
  <c r="B21" i="15"/>
  <c r="D19" i="15"/>
  <c r="C19" i="15"/>
  <c r="H13" i="15"/>
  <c r="M13" i="15" s="1"/>
  <c r="N34" i="15" l="1"/>
  <c r="B8" i="15"/>
  <c r="H8" i="15" s="1"/>
  <c r="M42" i="15"/>
  <c r="O35" i="15"/>
  <c r="M35" i="15"/>
  <c r="O42" i="15"/>
  <c r="N35" i="15"/>
  <c r="M34" i="15"/>
  <c r="N36" i="15"/>
  <c r="O34" i="15"/>
  <c r="M36" i="15"/>
  <c r="N42" i="15"/>
  <c r="M8" i="15"/>
  <c r="N11" i="15"/>
  <c r="N14" i="15"/>
  <c r="N9" i="15"/>
  <c r="M12" i="15"/>
  <c r="M10" i="15"/>
  <c r="S36" i="15"/>
  <c r="R30" i="15"/>
  <c r="T30" i="15" s="1"/>
  <c r="T35" i="15"/>
  <c r="N10" i="15"/>
  <c r="M11" i="15"/>
  <c r="T28" i="15"/>
  <c r="S29" i="15"/>
  <c r="U35" i="15"/>
  <c r="U36" i="15"/>
  <c r="L40" i="15"/>
  <c r="L41" i="15"/>
  <c r="T36" i="15"/>
  <c r="U28" i="15"/>
  <c r="T29" i="15"/>
  <c r="R34" i="15"/>
  <c r="U34" i="15" s="1"/>
  <c r="N8" i="15"/>
  <c r="M9" i="15"/>
  <c r="N12" i="15"/>
  <c r="N13" i="15"/>
  <c r="M14" i="15"/>
  <c r="U29" i="15"/>
  <c r="S35" i="15"/>
  <c r="T8" i="15"/>
  <c r="H6" i="15" l="1"/>
  <c r="H7" i="15"/>
  <c r="Q37" i="22"/>
  <c r="Q34" i="22"/>
  <c r="Q31" i="22"/>
  <c r="H9" i="15"/>
  <c r="O14" i="15" s="1"/>
  <c r="B9" i="15"/>
  <c r="S30" i="15"/>
  <c r="S48" i="15" s="1"/>
  <c r="S34" i="15"/>
  <c r="O41" i="15"/>
  <c r="U41" i="15" s="1"/>
  <c r="M41" i="15"/>
  <c r="S47" i="15" s="1"/>
  <c r="N41" i="15"/>
  <c r="T47" i="15" s="1"/>
  <c r="O40" i="15"/>
  <c r="U40" i="15" s="1"/>
  <c r="M40" i="15"/>
  <c r="N40" i="15"/>
  <c r="T42" i="15"/>
  <c r="T48" i="15"/>
  <c r="T34" i="15"/>
  <c r="U30" i="15"/>
  <c r="S42" i="15" l="1"/>
  <c r="C20" i="15"/>
  <c r="C22" i="15" s="1"/>
  <c r="O12" i="15"/>
  <c r="B20" i="15"/>
  <c r="B22" i="15" s="1"/>
  <c r="P11" i="15"/>
  <c r="P8" i="15"/>
  <c r="D20" i="15"/>
  <c r="D22" i="15" s="1"/>
  <c r="P10" i="15"/>
  <c r="O10" i="15"/>
  <c r="M20" i="15"/>
  <c r="O13" i="15"/>
  <c r="P14" i="15"/>
  <c r="H11" i="15"/>
  <c r="O11" i="15"/>
  <c r="P9" i="15"/>
  <c r="O8" i="15"/>
  <c r="P12" i="15"/>
  <c r="P13" i="15"/>
  <c r="O9" i="15"/>
  <c r="T41" i="15"/>
  <c r="S40" i="15"/>
  <c r="T46" i="15"/>
  <c r="U46" i="15"/>
  <c r="T40" i="15"/>
  <c r="S46" i="15"/>
  <c r="S41" i="15"/>
  <c r="U47" i="15"/>
  <c r="U48" i="15"/>
  <c r="U42" i="15"/>
  <c r="M16" i="15" l="1"/>
  <c r="M18" i="15"/>
  <c r="H4" i="15"/>
  <c r="M24" i="15"/>
  <c r="M22" i="15"/>
  <c r="M4" i="15" l="1"/>
  <c r="T4" i="15" s="1"/>
  <c r="T6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<sst xmlns="http://schemas.openxmlformats.org/spreadsheetml/2006/main" count="418" uniqueCount="148">
  <si>
    <r>
      <t>J mol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 xml:space="preserve"> K</t>
    </r>
    <r>
      <rPr>
        <vertAlign val="superscript"/>
        <sz val="11"/>
        <color theme="1"/>
        <rFont val="Calibri"/>
        <family val="2"/>
        <scheme val="minor"/>
      </rPr>
      <t>−1</t>
    </r>
  </si>
  <si>
    <r>
      <t xml:space="preserve">Temperature, </t>
    </r>
    <r>
      <rPr>
        <i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= </t>
    </r>
  </si>
  <si>
    <t>K</t>
  </si>
  <si>
    <r>
      <rPr>
        <i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 xml:space="preserve">↓ /  </t>
    </r>
    <r>
      <rPr>
        <i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→</t>
    </r>
  </si>
  <si>
    <t>Component Name</t>
  </si>
  <si>
    <t>i</t>
  </si>
  <si>
    <t>PC-SAFT Equation of State:</t>
  </si>
  <si>
    <r>
      <t xml:space="preserve">Number of segments,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</si>
  <si>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 xml:space="preserve">Component number, </t>
    </r>
    <r>
      <rPr>
        <i/>
        <sz val="11"/>
        <color theme="1"/>
        <rFont val="Calibri"/>
        <family val="2"/>
        <scheme val="minor"/>
      </rPr>
      <t>i</t>
    </r>
  </si>
  <si>
    <r>
      <t xml:space="preserve">Mole fraction, </t>
    </r>
    <r>
      <rPr>
        <i/>
        <sz val="11"/>
        <color theme="1"/>
        <rFont val="Calibri"/>
        <family val="2"/>
        <scheme val="minor"/>
      </rPr>
      <t>x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</si>
  <si>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 xml:space="preserve">Temperature-independent segment diameter, </t>
    </r>
    <r>
      <rPr>
        <i/>
        <sz val="11"/>
        <color theme="1"/>
        <rFont val="Calibri"/>
        <family val="2"/>
        <scheme val="minor"/>
      </rPr>
      <t>σ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/Å</t>
    </r>
  </si>
  <si>
    <r>
      <t>Å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</si>
  <si>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Gas constant, </t>
    </r>
    <r>
      <rPr>
        <i/>
        <sz val="11"/>
        <color theme="1"/>
        <rFont val="Calibri"/>
        <family val="2"/>
        <scheme val="minor"/>
      </rPr>
      <t>R</t>
    </r>
    <r>
      <rPr>
        <sz val="10"/>
        <rFont val="Arial"/>
        <family val="2"/>
      </rPr>
      <t xml:space="preserve"> =</t>
    </r>
  </si>
  <si>
    <r>
      <t xml:space="preserve">Boltzmann constant, </t>
    </r>
    <r>
      <rPr>
        <i/>
        <sz val="11"/>
        <color theme="1"/>
        <rFont val="Calibri"/>
        <family val="2"/>
        <scheme val="minor"/>
      </rPr>
      <t>k</t>
    </r>
    <r>
      <rPr>
        <sz val="10"/>
        <rFont val="Arial"/>
        <family val="2"/>
      </rPr>
      <t xml:space="preserve"> =</t>
    </r>
  </si>
  <si>
    <r>
      <t xml:space="preserve">J </t>
    </r>
    <r>
      <rPr>
        <sz val="10"/>
        <rFont val="Arial"/>
        <family val="2"/>
      </rPr>
      <t>K</t>
    </r>
    <r>
      <rPr>
        <vertAlign val="superscript"/>
        <sz val="11"/>
        <color theme="1"/>
        <rFont val="Calibri"/>
        <family val="2"/>
        <scheme val="minor"/>
      </rPr>
      <t>−1</t>
    </r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</si>
  <si>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mol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</si>
  <si>
    <r>
      <t xml:space="preserve">Total number density of molecules, </t>
    </r>
    <r>
      <rPr>
        <i/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 xml:space="preserve"> =</t>
    </r>
  </si>
  <si>
    <r>
      <t xml:space="preserve">Molar volume, </t>
    </r>
    <r>
      <rPr>
        <i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 = </t>
    </r>
  </si>
  <si>
    <r>
      <t>mol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/>
    </r>
  </si>
  <si>
    <r>
      <t xml:space="preserve">Avogadro's number, </t>
    </r>
    <r>
      <rPr>
        <i/>
        <sz val="11"/>
        <color theme="1"/>
        <rFont val="Calibri"/>
        <family val="2"/>
        <scheme val="minor"/>
      </rPr>
      <t>N</t>
    </r>
    <r>
      <rPr>
        <i/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=</t>
    </r>
  </si>
  <si>
    <r>
      <t xml:space="preserve">Temperature-dependent segment diameter, </t>
    </r>
    <r>
      <rPr>
        <i/>
        <sz val="11"/>
        <color theme="1"/>
        <rFont val="Calibri"/>
        <family val="2"/>
        <scheme val="minor"/>
      </rPr>
      <t>d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/Å</t>
    </r>
  </si>
  <si>
    <r>
      <t xml:space="preserve">Depth of pair potential / Boltzmann constant, </t>
    </r>
    <r>
      <rPr>
        <i/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0"/>
        <rFont val="Arial"/>
        <family val="2"/>
      </rPr>
      <t>/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/K</t>
    </r>
  </si>
  <si>
    <t>Hard-Chain Reference Contribution:</t>
  </si>
  <si>
    <r>
      <rPr>
        <i/>
        <sz val="11"/>
        <color theme="1"/>
        <rFont val="Calibri"/>
        <family val="2"/>
      </rPr>
      <t>ζ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 xml:space="preserve"> =</t>
    </r>
  </si>
  <si>
    <r>
      <rPr>
        <i/>
        <sz val="11"/>
        <color theme="1"/>
        <rFont val="Calibri"/>
        <family val="2"/>
      </rPr>
      <t>ζ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=</t>
    </r>
  </si>
  <si>
    <r>
      <rPr>
        <i/>
        <sz val="11"/>
        <color theme="1"/>
        <rFont val="Calibri"/>
        <family val="2"/>
      </rPr>
      <t>ζ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 =</t>
    </r>
  </si>
  <si>
    <r>
      <rPr>
        <i/>
        <sz val="11"/>
        <color theme="1"/>
        <rFont val="Calibri"/>
        <family val="2"/>
      </rPr>
      <t>ζ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 = </t>
    </r>
    <r>
      <rPr>
        <i/>
        <sz val="11"/>
        <color theme="1"/>
        <rFont val="Calibri"/>
        <family val="2"/>
      </rPr>
      <t>η</t>
    </r>
    <r>
      <rPr>
        <sz val="11"/>
        <color theme="1"/>
        <rFont val="Calibri"/>
        <family val="2"/>
      </rPr>
      <t xml:space="preserve"> =</t>
    </r>
  </si>
  <si>
    <r>
      <t>Å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2</t>
    </r>
  </si>
  <si>
    <r>
      <t>Å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</si>
  <si>
    <t>Radial distribution function of hard-chain fluid,</t>
  </si>
  <si>
    <t>Pure Component Parameters and Calculations:</t>
  </si>
  <si>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−</t>
    </r>
    <r>
      <rPr>
        <sz val="11"/>
        <color theme="1"/>
        <rFont val="Calibri"/>
        <family val="2"/>
        <scheme val="minor"/>
      </rPr>
      <t xml:space="preserve"> 1</t>
    </r>
  </si>
  <si>
    <t>Dispersion Contribution:</t>
  </si>
  <si>
    <r>
      <rPr>
        <i/>
        <sz val="11"/>
        <color theme="1"/>
        <rFont val="Calibri"/>
        <family val="2"/>
        <scheme val="minor"/>
      </rPr>
      <t>a</t>
    </r>
    <r>
      <rPr>
        <vertAlign val="subscript"/>
        <sz val="11"/>
        <color theme="1"/>
        <rFont val="Calibri"/>
        <family val="2"/>
        <scheme val="minor"/>
      </rPr>
      <t>0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</si>
  <si>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a</t>
    </r>
    <r>
      <rPr>
        <vertAlign val="subscript"/>
        <sz val="11"/>
        <color theme="1"/>
        <rFont val="Calibri"/>
        <family val="2"/>
        <scheme val="minor"/>
      </rPr>
      <t>1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</si>
  <si>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a</t>
    </r>
    <r>
      <rPr>
        <vertAlign val="subscript"/>
        <sz val="11"/>
        <color theme="1"/>
        <rFont val="Calibri"/>
        <family val="2"/>
        <scheme val="minor"/>
      </rPr>
      <t>2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</si>
  <si>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b</t>
    </r>
    <r>
      <rPr>
        <vertAlign val="subscript"/>
        <sz val="11"/>
        <color theme="1"/>
        <rFont val="Calibri"/>
        <family val="2"/>
        <scheme val="minor"/>
      </rPr>
      <t>0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</si>
  <si>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b</t>
    </r>
    <r>
      <rPr>
        <vertAlign val="subscript"/>
        <sz val="11"/>
        <color theme="1"/>
        <rFont val="Calibri"/>
        <family val="2"/>
        <scheme val="minor"/>
      </rPr>
      <t>1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</si>
  <si>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i/>
        <sz val="11"/>
        <color theme="1"/>
        <rFont val="Calibri"/>
        <family val="2"/>
        <scheme val="minor"/>
      </rP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</si>
  <si>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rPr>
        <sz val="11"/>
        <color theme="1"/>
        <rFont val="Calibri"/>
        <family val="2"/>
      </rPr>
      <t>σ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 xml:space="preserve">↓ / </t>
    </r>
    <r>
      <rPr>
        <i/>
        <sz val="11"/>
        <color theme="1"/>
        <rFont val="Calibri"/>
        <family val="2"/>
      </rPr>
      <t>σ</t>
    </r>
    <r>
      <rPr>
        <i/>
        <vertAlign val="subscript"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→</t>
    </r>
  </si>
  <si>
    <r>
      <rPr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>/k ↓ / ε</t>
    </r>
    <r>
      <rPr>
        <i/>
        <vertAlign val="subscript"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/k →</t>
    </r>
  </si>
  <si>
    <r>
      <rPr>
        <sz val="11"/>
        <color theme="1"/>
        <rFont val="Calibri"/>
        <family val="2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 xml:space="preserve">↓ / </t>
    </r>
    <r>
      <rPr>
        <i/>
        <sz val="11"/>
        <color theme="1"/>
        <rFont val="Calibri"/>
        <family val="2"/>
      </rPr>
      <t>m</t>
    </r>
    <r>
      <rPr>
        <i/>
        <vertAlign val="subscript"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→</t>
    </r>
  </si>
  <si>
    <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.m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</t>
    </r>
  </si>
  <si>
    <r>
      <t>x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.x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</t>
    </r>
  </si>
  <si>
    <r>
      <rPr>
        <sz val="11"/>
        <color theme="1"/>
        <rFont val="Calibri"/>
        <family val="2"/>
      </rPr>
      <t>x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</rPr>
      <t xml:space="preserve">↓ / </t>
    </r>
    <r>
      <rPr>
        <i/>
        <sz val="11"/>
        <color theme="1"/>
        <rFont val="Calibri"/>
        <family val="2"/>
      </rPr>
      <t>x</t>
    </r>
    <r>
      <rPr>
        <i/>
        <vertAlign val="subscript"/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→</t>
    </r>
  </si>
  <si>
    <r>
      <t>x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x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>/</t>
    </r>
    <r>
      <rPr>
        <i/>
        <sz val="11"/>
        <color theme="1"/>
        <rFont val="Calibri"/>
        <family val="2"/>
        <scheme val="minor"/>
      </rPr>
      <t>kT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σ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</rPr>
      <t xml:space="preserve"> ↘</t>
    </r>
  </si>
  <si>
    <r>
      <t>x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x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>/</t>
    </r>
    <r>
      <rPr>
        <i/>
        <sz val="11"/>
        <color theme="1"/>
        <rFont val="Calibri"/>
        <family val="2"/>
        <scheme val="minor"/>
      </rPr>
      <t>kT</t>
    </r>
    <r>
      <rPr>
        <sz val="11"/>
        <color theme="1"/>
        <rFont val="Calibri"/>
        <family val="2"/>
        <scheme val="minor"/>
      </rPr>
      <t>)</t>
    </r>
    <r>
      <rPr>
        <i/>
        <sz val="11"/>
        <color theme="1"/>
        <rFont val="Calibri"/>
        <family val="2"/>
        <scheme val="minor"/>
      </rPr>
      <t>σ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</rPr>
      <t xml:space="preserve"> ↘</t>
    </r>
  </si>
  <si>
    <r>
      <t>σ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</t>
    </r>
  </si>
  <si>
    <r>
      <rPr>
        <sz val="11"/>
        <color theme="1"/>
        <rFont val="Calibri"/>
        <family val="2"/>
      </rPr>
      <t>ε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>/</t>
    </r>
    <r>
      <rPr>
        <i/>
        <sz val="11"/>
        <color theme="1"/>
        <rFont val="Calibri"/>
        <family val="2"/>
        <scheme val="minor"/>
      </rPr>
      <t>k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</t>
    </r>
  </si>
  <si>
    <t>(calculated using custom VBA function)</t>
  </si>
  <si>
    <t>(Eq. A7 [1])</t>
  </si>
  <si>
    <t>Universal Model Constants (Table 1 [1]):</t>
  </si>
  <si>
    <t>(Eq. A8 [1])</t>
  </si>
  <si>
    <t>(Eq. A5 [1])</t>
  </si>
  <si>
    <t>(Eq. A16 [1])</t>
  </si>
  <si>
    <t>(Eq. A17 [1])</t>
  </si>
  <si>
    <t>(Eq. A12 [1])</t>
  </si>
  <si>
    <t>(Eq. A13 [1])</t>
  </si>
  <si>
    <t>References</t>
  </si>
  <si>
    <t>Residual Helmholtz Free Energy:</t>
  </si>
  <si>
    <t>(Eq. A9 [1])</t>
  </si>
  <si>
    <t>(Eq. A4 [1])</t>
  </si>
  <si>
    <t>(Eq. A6 [1])</t>
  </si>
  <si>
    <t>(Eq. A10 [1])</t>
  </si>
  <si>
    <t>(Eq. A3 [1])</t>
  </si>
  <si>
    <t>(Eq. A1 [1])</t>
  </si>
  <si>
    <r>
      <t>J mol</t>
    </r>
    <r>
      <rPr>
        <vertAlign val="superscript"/>
        <sz val="11"/>
        <color theme="1"/>
        <rFont val="Calibri"/>
        <family val="2"/>
      </rPr>
      <t>−</t>
    </r>
    <r>
      <rPr>
        <vertAlign val="superscript"/>
        <sz val="11"/>
        <color theme="1"/>
        <rFont val="Calibri"/>
        <family val="2"/>
        <scheme val="minor"/>
      </rPr>
      <t>1</t>
    </r>
  </si>
  <si>
    <t>Binary Interaction Parameters:</t>
  </si>
  <si>
    <t>η</t>
  </si>
  <si>
    <t>ρ</t>
  </si>
  <si>
    <t>Point</t>
  </si>
  <si>
    <r>
      <rPr>
        <i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 xml:space="preserve"> =</t>
    </r>
  </si>
  <si>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−</t>
    </r>
    <r>
      <rPr>
        <sz val="11"/>
        <color theme="1"/>
        <rFont val="Calibri"/>
        <family val="2"/>
        <scheme val="minor"/>
      </rPr>
      <t xml:space="preserve"> 2</t>
    </r>
    <r>
      <rPr>
        <i/>
        <sz val="11"/>
        <color theme="1"/>
        <rFont val="Calibri"/>
        <family val="2"/>
        <scheme val="minor"/>
      </rPr>
      <t>h</t>
    </r>
  </si>
  <si>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− </t>
    </r>
    <r>
      <rPr>
        <i/>
        <sz val="11"/>
        <color theme="1"/>
        <rFont val="Calibri"/>
        <family val="2"/>
        <scheme val="minor"/>
      </rPr>
      <t>h</t>
    </r>
  </si>
  <si>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+ </t>
    </r>
    <r>
      <rPr>
        <i/>
        <sz val="11"/>
        <color theme="1"/>
        <rFont val="Calibri"/>
        <family val="2"/>
        <scheme val="minor"/>
      </rPr>
      <t>h</t>
    </r>
  </si>
  <si>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+ 2</t>
    </r>
    <r>
      <rPr>
        <i/>
        <sz val="11"/>
        <color theme="1"/>
        <rFont val="Calibri"/>
        <family val="2"/>
        <scheme val="minor"/>
      </rPr>
      <t>h</t>
    </r>
  </si>
  <si>
    <r>
      <rPr>
        <i/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=</t>
    </r>
  </si>
  <si>
    <t>(Eq. A22 [1])</t>
  </si>
  <si>
    <t>T</t>
  </si>
  <si>
    <t>Partial derivative of the residual Helmholtz free energy with respect to temperature:</t>
  </si>
  <si>
    <t>Partial derivative of the residual Helmholtz free energy with respect to packing fraction:</t>
  </si>
  <si>
    <t>(Eq. A46 [1])</t>
  </si>
  <si>
    <t>(Eq. A48 [1])</t>
  </si>
  <si>
    <t>(Eq. A50 [1])</t>
  </si>
  <si>
    <t>(Eq. A11 [1])</t>
  </si>
  <si>
    <r>
      <t xml:space="preserve">Packing fraction, </t>
    </r>
    <r>
      <rPr>
        <i/>
        <sz val="11"/>
        <color theme="1"/>
        <rFont val="Calibri"/>
        <family val="2"/>
      </rPr>
      <t>η</t>
    </r>
    <r>
      <rPr>
        <sz val="11"/>
        <color theme="1"/>
        <rFont val="Calibri"/>
        <family val="2"/>
        <scheme val="minor"/>
      </rPr>
      <t xml:space="preserve"> =</t>
    </r>
  </si>
  <si>
    <t>Methane</t>
  </si>
  <si>
    <t>Ethane</t>
  </si>
  <si>
    <t>Propane</t>
  </si>
  <si>
    <r>
      <t>k</t>
    </r>
    <r>
      <rPr>
        <i/>
        <vertAlign val="subscript"/>
        <sz val="11"/>
        <color theme="1"/>
        <rFont val="Calibri"/>
        <family val="2"/>
        <scheme val="minor"/>
      </rPr>
      <t>ij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</rPr>
      <t>↘ [2]</t>
    </r>
  </si>
  <si>
    <t>(Eq. A18 [1])</t>
  </si>
  <si>
    <t>(Eq. A19 [1])</t>
  </si>
  <si>
    <t>(Eq. A14 [1])</t>
  </si>
  <si>
    <t>(Eq. A15 [1])</t>
  </si>
  <si>
    <r>
      <t xml:space="preserve">Note: equation A11 from reference [1] has a typographical error, it is written: </t>
    </r>
    <r>
      <rPr>
        <i/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( ... )</t>
    </r>
    <r>
      <rPr>
        <vertAlign val="superscript"/>
        <sz val="11"/>
        <color theme="1"/>
        <rFont val="Calibri"/>
        <family val="2"/>
        <scheme val="minor"/>
      </rPr>
      <t>−1</t>
    </r>
    <r>
      <rPr>
        <sz val="11"/>
        <color theme="1"/>
        <rFont val="Calibri"/>
        <family val="2"/>
        <scheme val="minor"/>
      </rPr>
      <t xml:space="preserve"> = ( ... ). The correct form is: C1 = ( ... )</t>
    </r>
    <r>
      <rPr>
        <vertAlign val="superscript"/>
        <sz val="11"/>
        <color theme="1"/>
        <rFont val="Calibri"/>
        <family val="2"/>
        <scheme val="minor"/>
      </rPr>
      <t>−1</t>
    </r>
    <r>
      <rPr>
        <sz val="11"/>
        <color theme="1"/>
        <rFont val="Calibri"/>
        <family val="2"/>
        <scheme val="minor"/>
      </rPr>
      <t xml:space="preserve"> = ( ... )</t>
    </r>
    <r>
      <rPr>
        <vertAlign val="superscript"/>
        <sz val="11"/>
        <color theme="1"/>
        <rFont val="Calibri"/>
        <family val="2"/>
        <scheme val="minor"/>
      </rPr>
      <t>−1</t>
    </r>
    <r>
      <rPr>
        <sz val="11"/>
        <color theme="1"/>
        <rFont val="Calibri"/>
        <family val="2"/>
        <scheme val="minor"/>
      </rPr>
      <t>.</t>
    </r>
  </si>
  <si>
    <t>PCSAFTA User Defined Function:</t>
  </si>
  <si>
    <r>
      <t>=PCSAFTA(T,</t>
    </r>
    <r>
      <rPr>
        <sz val="11"/>
        <rFont val="Calibri"/>
        <family val="2"/>
      </rPr>
      <t>ρ</t>
    </r>
    <r>
      <rPr>
        <sz val="11"/>
        <rFont val="Calibri"/>
        <family val="2"/>
        <scheme val="minor"/>
      </rPr>
      <t>,x-range,m-range,</t>
    </r>
    <r>
      <rPr>
        <sz val="11"/>
        <rFont val="Calibri"/>
        <family val="2"/>
      </rPr>
      <t>σ</t>
    </r>
    <r>
      <rPr>
        <sz val="11"/>
        <rFont val="Calibri"/>
        <family val="2"/>
        <scheme val="minor"/>
      </rPr>
      <t>-range,</t>
    </r>
    <r>
      <rPr>
        <sz val="11"/>
        <rFont val="Calibri"/>
        <family val="2"/>
      </rPr>
      <t>ε</t>
    </r>
    <r>
      <rPr>
        <sz val="11"/>
        <rFont val="Calibri"/>
        <family val="2"/>
        <scheme val="minor"/>
      </rPr>
      <t>-range,kij-range)</t>
    </r>
  </si>
  <si>
    <t>T = absolute temperature /K</t>
  </si>
  <si>
    <r>
      <t>ρ = total number density of molecules /Å</t>
    </r>
    <r>
      <rPr>
        <vertAlign val="superscript"/>
        <sz val="11"/>
        <color theme="1"/>
        <rFont val="Calibri"/>
        <family val="2"/>
        <scheme val="minor"/>
      </rPr>
      <t>−3</t>
    </r>
  </si>
  <si>
    <t>x-range = mole fractions for all components (must be in a row not a column)</t>
  </si>
  <si>
    <t>m-range = number of segments for all components (must be in a row not a column)</t>
  </si>
  <si>
    <t>σ-range = temperature-independent segment diameter for all components (must be in a row not a column) /Å</t>
  </si>
  <si>
    <t>ε-range = depth of pair potential / Boltzmann constant for all components (must be in a row not a column) /K</t>
  </si>
  <si>
    <r>
      <t>=PCSAFTZ(T,</t>
    </r>
    <r>
      <rPr>
        <sz val="11"/>
        <rFont val="Calibri"/>
        <family val="2"/>
      </rPr>
      <t>ρ</t>
    </r>
    <r>
      <rPr>
        <sz val="11"/>
        <rFont val="Calibri"/>
        <family val="2"/>
        <scheme val="minor"/>
      </rPr>
      <t>,x-range,m-range,</t>
    </r>
    <r>
      <rPr>
        <sz val="11"/>
        <rFont val="Calibri"/>
        <family val="2"/>
      </rPr>
      <t>σ</t>
    </r>
    <r>
      <rPr>
        <sz val="11"/>
        <rFont val="Calibri"/>
        <family val="2"/>
        <scheme val="minor"/>
      </rPr>
      <t>-range,</t>
    </r>
    <r>
      <rPr>
        <sz val="11"/>
        <rFont val="Calibri"/>
        <family val="2"/>
      </rPr>
      <t>ε</t>
    </r>
    <r>
      <rPr>
        <sz val="11"/>
        <rFont val="Calibri"/>
        <family val="2"/>
        <scheme val="minor"/>
      </rPr>
      <t>-range,kij-range)</t>
    </r>
  </si>
  <si>
    <t xml:space="preserve">1. The PCSAFTA user defined function returns the residual Helmholtz free energy of the system, </t>
  </si>
  <si>
    <r>
      <t xml:space="preserve">2. The PCSAFTZ user defined function returns the compressibility factor for the system, </t>
    </r>
    <r>
      <rPr>
        <i/>
        <sz val="11"/>
        <rFont val="Calibri"/>
        <family val="2"/>
        <scheme val="minor"/>
      </rPr>
      <t>Z</t>
    </r>
  </si>
  <si>
    <t>kij-range = binary interaction parameters for all component pairs (must be set out in full using a n by n array)</t>
  </si>
  <si>
    <r>
      <t xml:space="preserve">[3] Fornberg, B., </t>
    </r>
    <r>
      <rPr>
        <i/>
        <sz val="11"/>
        <rFont val="Calibri"/>
        <family val="2"/>
        <scheme val="minor"/>
      </rPr>
      <t>Math. Comput.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1988</t>
    </r>
    <r>
      <rPr>
        <sz val="11"/>
        <rFont val="Calibri"/>
        <family val="2"/>
        <scheme val="minor"/>
      </rPr>
      <t xml:space="preserve">, </t>
    </r>
    <r>
      <rPr>
        <i/>
        <sz val="11"/>
        <rFont val="Calibri"/>
        <family val="2"/>
        <scheme val="minor"/>
      </rPr>
      <t>51</t>
    </r>
    <r>
      <rPr>
        <sz val="11"/>
        <rFont val="Calibri"/>
        <family val="2"/>
        <scheme val="minor"/>
      </rPr>
      <t>, 699</t>
    </r>
  </si>
  <si>
    <r>
      <t xml:space="preserve">[2] Aparicio-Martı´nez, S. &amp; Hall, K. R. </t>
    </r>
    <r>
      <rPr>
        <i/>
        <sz val="11"/>
        <rFont val="Calibri"/>
        <family val="2"/>
        <scheme val="minor"/>
      </rPr>
      <t>Ind. Eng. Chem. Res.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2007</t>
    </r>
    <r>
      <rPr>
        <sz val="11"/>
        <rFont val="Calibri"/>
        <family val="2"/>
        <scheme val="minor"/>
      </rPr>
      <t xml:space="preserve">, </t>
    </r>
    <r>
      <rPr>
        <i/>
        <sz val="11"/>
        <rFont val="Calibri"/>
        <family val="2"/>
        <scheme val="minor"/>
      </rPr>
      <t>46</t>
    </r>
    <r>
      <rPr>
        <sz val="11"/>
        <rFont val="Calibri"/>
        <family val="2"/>
        <scheme val="minor"/>
      </rPr>
      <t>, 273</t>
    </r>
  </si>
  <si>
    <r>
      <t xml:space="preserve">[1] Gross, J. &amp; Sadowski, G. </t>
    </r>
    <r>
      <rPr>
        <i/>
        <sz val="11"/>
        <rFont val="Calibri"/>
        <family val="2"/>
        <scheme val="minor"/>
      </rPr>
      <t>Ind. Eng. Chem. Res.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2001</t>
    </r>
    <r>
      <rPr>
        <sz val="11"/>
        <rFont val="Calibri"/>
        <family val="2"/>
        <scheme val="minor"/>
      </rPr>
      <t xml:space="preserve">, </t>
    </r>
    <r>
      <rPr>
        <i/>
        <sz val="11"/>
        <rFont val="Calibri"/>
        <family val="2"/>
        <scheme val="minor"/>
      </rPr>
      <t>40</t>
    </r>
    <r>
      <rPr>
        <sz val="11"/>
        <rFont val="Calibri"/>
        <family val="2"/>
        <scheme val="minor"/>
      </rPr>
      <t>, 1244</t>
    </r>
  </si>
  <si>
    <t>See ref [3]</t>
  </si>
  <si>
    <t>[1]</t>
  </si>
  <si>
    <t>Residual molar enthalpy:</t>
  </si>
  <si>
    <t>Residual molar entropy:</t>
  </si>
  <si>
    <t>Residual molar Gibbs free energy:</t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</si>
  <si>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</si>
  <si>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</si>
  <si>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</si>
  <si>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t>(Eqs. A33 [1])</t>
  </si>
  <si>
    <t>(Eqs. A32 and A33 [1])</t>
  </si>
  <si>
    <r>
      <rPr>
        <i/>
        <sz val="11"/>
        <color theme="1"/>
        <rFont val="Calibri"/>
        <family val="2"/>
      </rPr>
      <t>φ</t>
    </r>
    <r>
      <rPr>
        <vertAlign val="subscript"/>
        <sz val="13.2"/>
        <color theme="1"/>
        <rFont val="Calibri"/>
        <family val="2"/>
      </rPr>
      <t>3</t>
    </r>
    <r>
      <rPr>
        <sz val="13.2"/>
        <color theme="1"/>
        <rFont val="Calibri"/>
        <family val="2"/>
      </rPr>
      <t xml:space="preserve"> =</t>
    </r>
  </si>
  <si>
    <r>
      <rPr>
        <i/>
        <sz val="11"/>
        <color theme="1"/>
        <rFont val="Calibri"/>
        <family val="2"/>
      </rPr>
      <t>φ</t>
    </r>
    <r>
      <rPr>
        <vertAlign val="subscript"/>
        <sz val="13.2"/>
        <color theme="1"/>
        <rFont val="Calibri"/>
        <family val="2"/>
      </rPr>
      <t>2</t>
    </r>
    <r>
      <rPr>
        <sz val="13.2"/>
        <color theme="1"/>
        <rFont val="Calibri"/>
        <family val="2"/>
      </rPr>
      <t xml:space="preserve"> =</t>
    </r>
  </si>
  <si>
    <t>(Eqs. A32 [1])</t>
  </si>
  <si>
    <r>
      <rPr>
        <i/>
        <sz val="11"/>
        <color theme="1"/>
        <rFont val="Calibri"/>
        <family val="2"/>
      </rPr>
      <t>φ</t>
    </r>
    <r>
      <rPr>
        <vertAlign val="subscript"/>
        <sz val="13.2"/>
        <color theme="1"/>
        <rFont val="Calibri"/>
        <family val="2"/>
      </rPr>
      <t>1</t>
    </r>
    <r>
      <rPr>
        <sz val="13.2"/>
        <color theme="1"/>
        <rFont val="Calibri"/>
        <family val="2"/>
      </rPr>
      <t xml:space="preserve"> =</t>
    </r>
  </si>
  <si>
    <t>Pa</t>
  </si>
  <si>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=</t>
    </r>
  </si>
  <si>
    <t>Fugacity Coefficients:</t>
  </si>
  <si>
    <t>Partial derivative of the residual Helmholtz free energy with respect to mole fraction:</t>
  </si>
  <si>
    <t>d1</t>
  </si>
  <si>
    <t>d2</t>
  </si>
  <si>
    <t>d3</t>
  </si>
  <si>
    <t>μ1 =</t>
  </si>
  <si>
    <t>PC-SAFT vapour-liquid equilibrium:</t>
  </si>
  <si>
    <t xml:space="preserve"> </t>
  </si>
  <si>
    <r>
      <t>P</t>
    </r>
    <r>
      <rPr>
        <i/>
        <vertAlign val="subscript"/>
        <sz val="11"/>
        <color theme="1"/>
        <rFont val="Calibri"/>
        <family val="2"/>
        <scheme val="minor"/>
      </rPr>
      <t>calc</t>
    </r>
  </si>
  <si>
    <t>Liquid</t>
  </si>
  <si>
    <r>
      <t xml:space="preserve">Pressure, 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=</t>
    </r>
  </si>
  <si>
    <t>Vapour</t>
  </si>
  <si>
    <r>
      <rPr>
        <i/>
        <sz val="11"/>
        <color theme="1"/>
        <rFont val="Calibri"/>
        <family val="2"/>
        <scheme val="minor"/>
      </rPr>
      <t>x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</si>
  <si>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>y</t>
    </r>
    <r>
      <rPr>
        <i/>
        <vertAlign val="subscript"/>
        <sz val="11"/>
        <color theme="1"/>
        <rFont val="Calibri"/>
        <family val="2"/>
        <scheme val="minor"/>
      </rPr>
      <t>i,guess</t>
    </r>
  </si>
  <si>
    <r>
      <t>y</t>
    </r>
    <r>
      <rPr>
        <i/>
        <vertAlign val="subscript"/>
        <sz val="11"/>
        <color theme="1"/>
        <rFont val="Calibri"/>
        <family val="2"/>
        <scheme val="minor"/>
      </rPr>
      <t>i,calc</t>
    </r>
  </si>
  <si>
    <r>
      <t>y</t>
    </r>
    <r>
      <rPr>
        <i/>
        <vertAlign val="subscript"/>
        <sz val="11"/>
        <color theme="1"/>
        <rFont val="Calibri"/>
        <family val="2"/>
        <scheme val="minor"/>
      </rPr>
      <t>i,calc_scaled</t>
    </r>
  </si>
  <si>
    <t>Total</t>
  </si>
  <si>
    <r>
      <t xml:space="preserve">1. Vary value </t>
    </r>
    <r>
      <rPr>
        <i/>
        <sz val="11"/>
        <color theme="1"/>
        <rFont val="Calibri"/>
        <family val="2"/>
      </rPr>
      <t>η</t>
    </r>
    <r>
      <rPr>
        <sz val="11"/>
        <color theme="1"/>
        <rFont val="Calibri"/>
        <family val="2"/>
      </rPr>
      <t xml:space="preserve"> for each phase until pressure for each phase matches system value</t>
    </r>
  </si>
  <si>
    <r>
      <t xml:space="preserve">3. Copy and paste </t>
    </r>
    <r>
      <rPr>
        <i/>
        <sz val="11"/>
        <color theme="1"/>
        <rFont val="Calibri"/>
        <family val="2"/>
        <scheme val="minor"/>
      </rPr>
      <t>y</t>
    </r>
    <r>
      <rPr>
        <i/>
        <vertAlign val="subscript"/>
        <sz val="11"/>
        <color theme="1"/>
        <rFont val="Calibri"/>
        <family val="2"/>
        <scheme val="minor"/>
      </rPr>
      <t>i,calc_scaled</t>
    </r>
    <r>
      <rPr>
        <sz val="11"/>
        <color theme="1"/>
        <rFont val="Calibri"/>
        <family val="2"/>
        <scheme val="minor"/>
      </rPr>
      <t xml:space="preserve"> into </t>
    </r>
    <r>
      <rPr>
        <i/>
        <sz val="11"/>
        <color theme="1"/>
        <rFont val="Calibri"/>
        <family val="2"/>
        <scheme val="minor"/>
      </rPr>
      <t>y</t>
    </r>
    <r>
      <rPr>
        <i/>
        <vertAlign val="subscript"/>
        <sz val="11"/>
        <color theme="1"/>
        <rFont val="Calibri"/>
        <family val="2"/>
        <scheme val="minor"/>
      </rPr>
      <t>i,guess</t>
    </r>
  </si>
  <si>
    <t>3. Update pressure</t>
  </si>
  <si>
    <t>4. Repeat until values converge</t>
  </si>
  <si>
    <t>rho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</si>
</sst>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00"/>
    <numFmt numFmtId="165" formatCode="0.0000"/>
    <numFmt numFmtId="166" formatCode="0.000E+00"/>
    <numFmt numFmtId="167" formatCode="0.0"/>
    <numFmt numFmtId="168" formatCode="0.0000E+00"/>
    <numFmt numFmtId="169" formatCode="0.00000"/>
    <numFmt numFmtId="170" formatCode="0.000000"/>
    <numFmt numFmtId="171" formatCode="0E+00"/>
    <numFmt numFmtId="172" formatCode="0.0E+00"/>
    <numFmt numFmtId="173" formatCode="0.0000000"/>
    <numFmt numFmtId="174" formatCode="0.00000000"/>
    <numFmt numFmtId="175" formatCode="0.0000000000"/>
    <numFmt numFmtId="176" formatCode="0.00000E+00"/>
    <numFmt numFmtId="177" formatCode="0.000000E+00"/>
    <numFmt numFmtId="178" formatCode="0.0000000000000000"/>
  </numFmts>
  <fonts count="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Geneva"/>
    </font>
    <font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</font>
    <font>
      <i/>
      <sz val="11"/>
      <name val="Calibri"/>
      <family val="2"/>
      <scheme val="minor"/>
    </font>
    <font>
      <vertAlign val="subscript"/>
      <sz val="13.2"/>
      <color theme="1"/>
      <name val="Calibri"/>
      <family val="2"/>
    </font>
    <font>
      <sz val="13.2"/>
      <color theme="1"/>
      <name val="Calibri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1" fillId="0" borderId="0"/>
    <xf numFmtId="0" fontId="22" fillId="0" borderId="0"/>
    <xf numFmtId="0" fontId="20" fillId="0" borderId="0"/>
    <xf numFmtId="0" fontId="30" fillId="0" borderId="0"/>
    <xf numFmtId="0" fontId="20" fillId="0" borderId="0"/>
    <xf numFmtId="0" fontId="4" fillId="0" borderId="0"/>
    <xf numFmtId="0" fontId="3" fillId="0" borderId="0"/>
    <xf numFmtId="0" fontId="2" fillId="0" borderId="0"/>
  </cellStyleXfs>
  <cellXfs count="196">
    <xf numFmtId="0" fontId="0" fillId="0" borderId="0" xfId="0"/>
    <xf numFmtId="0" fontId="20" fillId="0" borderId="0" xfId="3"/>
    <xf numFmtId="0" fontId="20" fillId="0" borderId="0" xfId="3" applyAlignment="1">
      <alignment horizontal="center"/>
    </xf>
    <xf numFmtId="0" fontId="20" fillId="0" borderId="0" xfId="3" applyAlignment="1">
      <alignment horizontal="right"/>
    </xf>
    <xf numFmtId="164" fontId="20" fillId="0" borderId="0" xfId="3" applyNumberFormat="1" applyAlignment="1">
      <alignment horizontal="center"/>
    </xf>
    <xf numFmtId="167" fontId="20" fillId="0" borderId="0" xfId="3" applyNumberFormat="1" applyAlignment="1">
      <alignment horizontal="center"/>
    </xf>
    <xf numFmtId="0" fontId="25" fillId="0" borderId="0" xfId="3" applyFont="1" applyAlignment="1">
      <alignment horizontal="center"/>
    </xf>
    <xf numFmtId="0" fontId="20" fillId="0" borderId="2" xfId="3" applyBorder="1" applyAlignment="1">
      <alignment horizontal="center"/>
    </xf>
    <xf numFmtId="0" fontId="20" fillId="0" borderId="3" xfId="3" applyBorder="1" applyAlignment="1">
      <alignment horizontal="center"/>
    </xf>
    <xf numFmtId="0" fontId="20" fillId="0" borderId="1" xfId="3" applyBorder="1" applyAlignment="1">
      <alignment horizontal="center"/>
    </xf>
    <xf numFmtId="2" fontId="20" fillId="0" borderId="0" xfId="3" applyNumberFormat="1" applyAlignment="1">
      <alignment horizontal="center"/>
    </xf>
    <xf numFmtId="1" fontId="20" fillId="0" borderId="1" xfId="3" applyNumberFormat="1" applyBorder="1" applyAlignment="1">
      <alignment horizontal="center"/>
    </xf>
    <xf numFmtId="165" fontId="20" fillId="0" borderId="0" xfId="3" applyNumberFormat="1" applyAlignment="1">
      <alignment horizontal="center"/>
    </xf>
    <xf numFmtId="11" fontId="20" fillId="0" borderId="0" xfId="3" applyNumberFormat="1" applyAlignment="1">
      <alignment horizontal="center"/>
    </xf>
    <xf numFmtId="11" fontId="20" fillId="0" borderId="0" xfId="3" applyNumberFormat="1"/>
    <xf numFmtId="166" fontId="20" fillId="0" borderId="0" xfId="3" applyNumberFormat="1"/>
    <xf numFmtId="2" fontId="20" fillId="0" borderId="1" xfId="3" applyNumberFormat="1" applyBorder="1" applyAlignment="1">
      <alignment horizontal="center"/>
    </xf>
    <xf numFmtId="0" fontId="19" fillId="0" borderId="0" xfId="3" applyFont="1"/>
    <xf numFmtId="0" fontId="19" fillId="0" borderId="1" xfId="3" applyFont="1" applyBorder="1" applyAlignment="1">
      <alignment horizontal="center"/>
    </xf>
    <xf numFmtId="0" fontId="19" fillId="0" borderId="0" xfId="3" applyFont="1" applyAlignment="1">
      <alignment horizontal="right"/>
    </xf>
    <xf numFmtId="0" fontId="19" fillId="0" borderId="0" xfId="1" applyFont="1"/>
    <xf numFmtId="168" fontId="20" fillId="0" borderId="0" xfId="3" applyNumberFormat="1" applyAlignment="1">
      <alignment horizontal="center"/>
    </xf>
    <xf numFmtId="0" fontId="19" fillId="0" borderId="0" xfId="3" applyFont="1" applyAlignment="1">
      <alignment horizontal="left"/>
    </xf>
    <xf numFmtId="0" fontId="27" fillId="0" borderId="0" xfId="3" applyFont="1" applyAlignment="1">
      <alignment horizontal="right"/>
    </xf>
    <xf numFmtId="0" fontId="19" fillId="0" borderId="0" xfId="3" applyFont="1" applyAlignment="1">
      <alignment horizontal="center"/>
    </xf>
    <xf numFmtId="0" fontId="19" fillId="0" borderId="1" xfId="3" applyFont="1" applyBorder="1" applyAlignment="1">
      <alignment horizontal="left"/>
    </xf>
    <xf numFmtId="0" fontId="18" fillId="0" borderId="0" xfId="3" applyFont="1" applyAlignment="1">
      <alignment horizontal="left"/>
    </xf>
    <xf numFmtId="0" fontId="18" fillId="0" borderId="1" xfId="3" applyFont="1" applyBorder="1" applyAlignment="1">
      <alignment horizontal="center"/>
    </xf>
    <xf numFmtId="170" fontId="20" fillId="0" borderId="0" xfId="3" applyNumberFormat="1" applyAlignment="1">
      <alignment horizontal="center"/>
    </xf>
    <xf numFmtId="0" fontId="20" fillId="0" borderId="3" xfId="3" applyBorder="1"/>
    <xf numFmtId="0" fontId="25" fillId="0" borderId="2" xfId="3" applyFont="1" applyBorder="1" applyAlignment="1">
      <alignment horizontal="center"/>
    </xf>
    <xf numFmtId="0" fontId="18" fillId="0" borderId="3" xfId="3" applyFont="1" applyBorder="1" applyAlignment="1">
      <alignment horizontal="center"/>
    </xf>
    <xf numFmtId="11" fontId="19" fillId="0" borderId="0" xfId="3" applyNumberFormat="1" applyFont="1" applyAlignment="1">
      <alignment horizontal="center"/>
    </xf>
    <xf numFmtId="2" fontId="20" fillId="0" borderId="3" xfId="3" applyNumberFormat="1" applyBorder="1" applyAlignment="1">
      <alignment horizontal="center"/>
    </xf>
    <xf numFmtId="169" fontId="20" fillId="0" borderId="1" xfId="3" applyNumberFormat="1" applyBorder="1" applyAlignment="1">
      <alignment horizontal="center"/>
    </xf>
    <xf numFmtId="169" fontId="20" fillId="0" borderId="3" xfId="3" applyNumberFormat="1" applyBorder="1" applyAlignment="1">
      <alignment horizontal="center"/>
    </xf>
    <xf numFmtId="0" fontId="18" fillId="0" borderId="2" xfId="3" applyFont="1" applyBorder="1" applyAlignment="1">
      <alignment horizontal="center"/>
    </xf>
    <xf numFmtId="11" fontId="20" fillId="0" borderId="3" xfId="3" applyNumberFormat="1" applyBorder="1" applyAlignment="1">
      <alignment horizontal="center"/>
    </xf>
    <xf numFmtId="11" fontId="20" fillId="0" borderId="1" xfId="3" applyNumberFormat="1" applyBorder="1" applyAlignment="1">
      <alignment horizontal="center"/>
    </xf>
    <xf numFmtId="171" fontId="20" fillId="0" borderId="0" xfId="3" applyNumberFormat="1"/>
    <xf numFmtId="11" fontId="0" fillId="0" borderId="0" xfId="0" applyNumberFormat="1"/>
    <xf numFmtId="0" fontId="18" fillId="0" borderId="0" xfId="3" applyFont="1" applyAlignment="1">
      <alignment horizontal="center"/>
    </xf>
    <xf numFmtId="166" fontId="20" fillId="0" borderId="0" xfId="3" applyNumberFormat="1" applyAlignment="1">
      <alignment horizontal="center"/>
    </xf>
    <xf numFmtId="0" fontId="20" fillId="0" borderId="1" xfId="3" applyBorder="1"/>
    <xf numFmtId="172" fontId="20" fillId="0" borderId="0" xfId="3" applyNumberFormat="1"/>
    <xf numFmtId="165" fontId="20" fillId="0" borderId="0" xfId="3" applyNumberFormat="1"/>
    <xf numFmtId="169" fontId="20" fillId="0" borderId="0" xfId="3" applyNumberFormat="1" applyAlignment="1">
      <alignment horizontal="center"/>
    </xf>
    <xf numFmtId="170" fontId="20" fillId="0" borderId="0" xfId="3" applyNumberFormat="1"/>
    <xf numFmtId="169" fontId="20" fillId="0" borderId="0" xfId="3" applyNumberFormat="1"/>
    <xf numFmtId="168" fontId="20" fillId="0" borderId="0" xfId="3" applyNumberFormat="1"/>
    <xf numFmtId="0" fontId="17" fillId="0" borderId="0" xfId="3" applyFont="1"/>
    <xf numFmtId="172" fontId="20" fillId="0" borderId="0" xfId="3" applyNumberFormat="1" applyAlignment="1">
      <alignment horizontal="center"/>
    </xf>
    <xf numFmtId="0" fontId="17" fillId="0" borderId="0" xfId="3" applyFont="1" applyAlignment="1">
      <alignment horizontal="left"/>
    </xf>
    <xf numFmtId="0" fontId="35" fillId="0" borderId="0" xfId="0" applyFont="1"/>
    <xf numFmtId="0" fontId="33" fillId="0" borderId="0" xfId="0" applyFont="1"/>
    <xf numFmtId="0" fontId="16" fillId="0" borderId="0" xfId="3" applyFont="1"/>
    <xf numFmtId="0" fontId="36" fillId="0" borderId="0" xfId="3" applyFont="1"/>
    <xf numFmtId="0" fontId="15" fillId="0" borderId="0" xfId="3" applyFont="1"/>
    <xf numFmtId="0" fontId="15" fillId="0" borderId="0" xfId="3" applyFont="1" applyAlignment="1">
      <alignment horizontal="right"/>
    </xf>
    <xf numFmtId="0" fontId="20" fillId="0" borderId="0" xfId="3" applyAlignment="1">
      <alignment horizontal="left"/>
    </xf>
    <xf numFmtId="0" fontId="15" fillId="0" borderId="1" xfId="3" applyFont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15" fillId="0" borderId="4" xfId="3" applyFont="1" applyBorder="1" applyAlignment="1">
      <alignment horizontal="center"/>
    </xf>
    <xf numFmtId="169" fontId="20" fillId="0" borderId="5" xfId="3" applyNumberFormat="1" applyBorder="1" applyAlignment="1">
      <alignment horizontal="center"/>
    </xf>
    <xf numFmtId="169" fontId="20" fillId="0" borderId="7" xfId="3" applyNumberFormat="1" applyBorder="1" applyAlignment="1">
      <alignment horizontal="center"/>
    </xf>
    <xf numFmtId="0" fontId="14" fillId="0" borderId="0" xfId="3" applyFont="1"/>
    <xf numFmtId="2" fontId="20" fillId="0" borderId="0" xfId="3" applyNumberFormat="1"/>
    <xf numFmtId="0" fontId="13" fillId="0" borderId="0" xfId="3" applyFont="1"/>
    <xf numFmtId="0" fontId="12" fillId="0" borderId="0" xfId="3" applyFont="1"/>
    <xf numFmtId="0" fontId="11" fillId="0" borderId="0" xfId="3" applyFont="1"/>
    <xf numFmtId="0" fontId="11" fillId="0" borderId="0" xfId="3" applyFont="1" applyAlignment="1">
      <alignment horizontal="right"/>
    </xf>
    <xf numFmtId="164" fontId="11" fillId="0" borderId="3" xfId="3" applyNumberFormat="1" applyFont="1" applyBorder="1" applyAlignment="1">
      <alignment horizontal="center"/>
    </xf>
    <xf numFmtId="0" fontId="11" fillId="0" borderId="3" xfId="3" applyFont="1" applyBorder="1" applyAlignment="1">
      <alignment horizontal="center"/>
    </xf>
    <xf numFmtId="0" fontId="9" fillId="0" borderId="0" xfId="3" applyFont="1"/>
    <xf numFmtId="0" fontId="10" fillId="0" borderId="0" xfId="3" applyFont="1" applyAlignment="1">
      <alignment horizontal="right"/>
    </xf>
    <xf numFmtId="170" fontId="20" fillId="0" borderId="6" xfId="3" applyNumberFormat="1" applyBorder="1" applyAlignment="1">
      <alignment horizontal="center"/>
    </xf>
    <xf numFmtId="170" fontId="20" fillId="0" borderId="8" xfId="3" applyNumberFormat="1" applyBorder="1" applyAlignment="1">
      <alignment horizontal="center"/>
    </xf>
    <xf numFmtId="170" fontId="20" fillId="0" borderId="5" xfId="3" applyNumberFormat="1" applyBorder="1" applyAlignment="1">
      <alignment horizontal="center"/>
    </xf>
    <xf numFmtId="170" fontId="20" fillId="0" borderId="7" xfId="3" applyNumberFormat="1" applyBorder="1" applyAlignment="1">
      <alignment horizontal="center"/>
    </xf>
    <xf numFmtId="173" fontId="20" fillId="0" borderId="0" xfId="3" applyNumberFormat="1" applyAlignment="1">
      <alignment horizontal="center"/>
    </xf>
    <xf numFmtId="11" fontId="8" fillId="0" borderId="0" xfId="3" applyNumberFormat="1" applyFont="1"/>
    <xf numFmtId="0" fontId="33" fillId="0" borderId="0" xfId="0" quotePrefix="1" applyFont="1"/>
    <xf numFmtId="0" fontId="8" fillId="0" borderId="1" xfId="3" applyFont="1" applyBorder="1" applyAlignment="1">
      <alignment horizontal="left"/>
    </xf>
    <xf numFmtId="0" fontId="8" fillId="0" borderId="0" xfId="3" applyFont="1" applyAlignment="1">
      <alignment horizontal="left"/>
    </xf>
    <xf numFmtId="0" fontId="8" fillId="0" borderId="0" xfId="3" applyFont="1"/>
    <xf numFmtId="0" fontId="7" fillId="0" borderId="0" xfId="3" applyFont="1"/>
    <xf numFmtId="0" fontId="6" fillId="0" borderId="0" xfId="3" applyFont="1"/>
    <xf numFmtId="0" fontId="5" fillId="0" borderId="0" xfId="3" applyFont="1" applyAlignment="1">
      <alignment horizontal="right"/>
    </xf>
    <xf numFmtId="0" fontId="4" fillId="0" borderId="0" xfId="6"/>
    <xf numFmtId="0" fontId="36" fillId="0" borderId="0" xfId="6" applyFont="1"/>
    <xf numFmtId="168" fontId="4" fillId="0" borderId="0" xfId="6" applyNumberFormat="1"/>
    <xf numFmtId="0" fontId="4" fillId="0" borderId="0" xfId="6" applyAlignment="1">
      <alignment horizontal="left"/>
    </xf>
    <xf numFmtId="0" fontId="4" fillId="0" borderId="0" xfId="6" applyAlignment="1">
      <alignment horizontal="right"/>
    </xf>
    <xf numFmtId="168" fontId="4" fillId="0" borderId="0" xfId="6" applyNumberFormat="1" applyAlignment="1">
      <alignment horizontal="center"/>
    </xf>
    <xf numFmtId="0" fontId="4" fillId="0" borderId="0" xfId="6" applyAlignment="1">
      <alignment horizontal="center"/>
    </xf>
    <xf numFmtId="165" fontId="4" fillId="0" borderId="0" xfId="6" applyNumberFormat="1" applyAlignment="1">
      <alignment horizontal="center"/>
    </xf>
    <xf numFmtId="166" fontId="4" fillId="0" borderId="0" xfId="6" applyNumberFormat="1"/>
    <xf numFmtId="165" fontId="4" fillId="0" borderId="0" xfId="6" applyNumberFormat="1"/>
    <xf numFmtId="164" fontId="4" fillId="0" borderId="0" xfId="6" applyNumberFormat="1" applyAlignment="1">
      <alignment horizontal="center"/>
    </xf>
    <xf numFmtId="2" fontId="4" fillId="0" borderId="0" xfId="6" applyNumberFormat="1" applyAlignment="1">
      <alignment horizontal="center"/>
    </xf>
    <xf numFmtId="0" fontId="27" fillId="0" borderId="0" xfId="6" applyFont="1" applyAlignment="1">
      <alignment horizontal="right"/>
    </xf>
    <xf numFmtId="11" fontId="4" fillId="0" borderId="0" xfId="6" applyNumberFormat="1" applyAlignment="1">
      <alignment horizontal="center"/>
    </xf>
    <xf numFmtId="11" fontId="4" fillId="0" borderId="0" xfId="6" applyNumberFormat="1"/>
    <xf numFmtId="0" fontId="4" fillId="0" borderId="3" xfId="6" applyBorder="1"/>
    <xf numFmtId="0" fontId="4" fillId="0" borderId="1" xfId="6" applyBorder="1" applyAlignment="1">
      <alignment horizontal="center"/>
    </xf>
    <xf numFmtId="172" fontId="4" fillId="0" borderId="0" xfId="6" applyNumberFormat="1" applyAlignment="1">
      <alignment horizontal="center"/>
    </xf>
    <xf numFmtId="0" fontId="4" fillId="0" borderId="0" xfId="1" applyFont="1"/>
    <xf numFmtId="167" fontId="4" fillId="0" borderId="0" xfId="6" applyNumberFormat="1" applyAlignment="1">
      <alignment horizontal="center"/>
    </xf>
    <xf numFmtId="170" fontId="4" fillId="0" borderId="0" xfId="6" applyNumberFormat="1" applyAlignment="1">
      <alignment horizontal="center"/>
    </xf>
    <xf numFmtId="172" fontId="4" fillId="0" borderId="0" xfId="6" applyNumberFormat="1"/>
    <xf numFmtId="0" fontId="4" fillId="0" borderId="2" xfId="6" applyBorder="1" applyAlignment="1">
      <alignment horizontal="center"/>
    </xf>
    <xf numFmtId="164" fontId="4" fillId="0" borderId="3" xfId="6" applyNumberFormat="1" applyBorder="1" applyAlignment="1">
      <alignment horizontal="center"/>
    </xf>
    <xf numFmtId="0" fontId="4" fillId="0" borderId="3" xfId="6" applyBorder="1" applyAlignment="1">
      <alignment horizontal="center"/>
    </xf>
    <xf numFmtId="166" fontId="4" fillId="0" borderId="0" xfId="6" applyNumberFormat="1" applyAlignment="1">
      <alignment horizontal="center"/>
    </xf>
    <xf numFmtId="0" fontId="25" fillId="0" borderId="0" xfId="6" applyFont="1" applyAlignment="1">
      <alignment horizontal="center"/>
    </xf>
    <xf numFmtId="169" fontId="4" fillId="0" borderId="0" xfId="6" applyNumberFormat="1" applyAlignment="1">
      <alignment horizontal="center"/>
    </xf>
    <xf numFmtId="169" fontId="4" fillId="0" borderId="8" xfId="6" applyNumberFormat="1" applyBorder="1" applyAlignment="1">
      <alignment horizontal="center"/>
    </xf>
    <xf numFmtId="173" fontId="4" fillId="0" borderId="7" xfId="6" applyNumberFormat="1" applyBorder="1" applyAlignment="1">
      <alignment horizontal="center"/>
    </xf>
    <xf numFmtId="169" fontId="4" fillId="0" borderId="6" xfId="6" applyNumberFormat="1" applyBorder="1" applyAlignment="1">
      <alignment horizontal="center"/>
    </xf>
    <xf numFmtId="173" fontId="4" fillId="0" borderId="5" xfId="6" applyNumberFormat="1" applyBorder="1" applyAlignment="1">
      <alignment horizontal="center"/>
    </xf>
    <xf numFmtId="0" fontId="4" fillId="0" borderId="4" xfId="6" applyBorder="1" applyAlignment="1">
      <alignment horizontal="center"/>
    </xf>
    <xf numFmtId="0" fontId="25" fillId="0" borderId="1" xfId="6" applyFont="1" applyBorder="1" applyAlignment="1">
      <alignment horizontal="center"/>
    </xf>
    <xf numFmtId="174" fontId="4" fillId="0" borderId="7" xfId="6" applyNumberFormat="1" applyBorder="1" applyAlignment="1">
      <alignment horizontal="center"/>
    </xf>
    <xf numFmtId="174" fontId="4" fillId="0" borderId="5" xfId="6" applyNumberFormat="1" applyBorder="1" applyAlignment="1">
      <alignment horizontal="center"/>
    </xf>
    <xf numFmtId="0" fontId="25" fillId="0" borderId="3" xfId="3" applyFont="1" applyBorder="1" applyAlignment="1">
      <alignment horizontal="center"/>
    </xf>
    <xf numFmtId="0" fontId="3" fillId="0" borderId="0" xfId="3" applyFont="1" applyAlignment="1">
      <alignment horizontal="right"/>
    </xf>
    <xf numFmtId="175" fontId="20" fillId="0" borderId="5" xfId="3" applyNumberFormat="1" applyBorder="1" applyAlignment="1">
      <alignment horizontal="center"/>
    </xf>
    <xf numFmtId="175" fontId="20" fillId="0" borderId="7" xfId="3" applyNumberFormat="1" applyBorder="1" applyAlignment="1">
      <alignment horizontal="center"/>
    </xf>
    <xf numFmtId="174" fontId="20" fillId="0" borderId="6" xfId="3" applyNumberFormat="1" applyBorder="1" applyAlignment="1">
      <alignment horizontal="center"/>
    </xf>
    <xf numFmtId="174" fontId="20" fillId="0" borderId="8" xfId="3" applyNumberFormat="1" applyBorder="1" applyAlignment="1">
      <alignment horizontal="center"/>
    </xf>
    <xf numFmtId="173" fontId="4" fillId="0" borderId="0" xfId="6" applyNumberFormat="1" applyAlignment="1">
      <alignment horizontal="center"/>
    </xf>
    <xf numFmtId="0" fontId="3" fillId="0" borderId="1" xfId="6" applyFont="1" applyBorder="1" applyAlignment="1">
      <alignment horizontal="center"/>
    </xf>
    <xf numFmtId="174" fontId="4" fillId="0" borderId="8" xfId="6" applyNumberFormat="1" applyBorder="1" applyAlignment="1">
      <alignment horizontal="center"/>
    </xf>
    <xf numFmtId="0" fontId="3" fillId="0" borderId="0" xfId="6" applyFont="1" applyAlignment="1">
      <alignment horizontal="right"/>
    </xf>
    <xf numFmtId="174" fontId="4" fillId="0" borderId="0" xfId="6" applyNumberFormat="1" applyAlignment="1">
      <alignment horizontal="center"/>
    </xf>
    <xf numFmtId="176" fontId="4" fillId="0" borderId="0" xfId="6" applyNumberFormat="1"/>
    <xf numFmtId="174" fontId="4" fillId="0" borderId="0" xfId="6" applyNumberFormat="1"/>
    <xf numFmtId="177" fontId="4" fillId="0" borderId="0" xfId="6" applyNumberFormat="1"/>
    <xf numFmtId="178" fontId="4" fillId="0" borderId="0" xfId="6" applyNumberFormat="1"/>
    <xf numFmtId="0" fontId="2" fillId="0" borderId="0" xfId="8"/>
    <xf numFmtId="0" fontId="2" fillId="0" borderId="0" xfId="8" applyAlignment="1">
      <alignment horizontal="left"/>
    </xf>
    <xf numFmtId="0" fontId="2" fillId="0" borderId="2" xfId="8" applyBorder="1"/>
    <xf numFmtId="0" fontId="28" fillId="0" borderId="3" xfId="8" applyFont="1" applyBorder="1" applyAlignment="1">
      <alignment horizontal="center"/>
    </xf>
    <xf numFmtId="0" fontId="25" fillId="0" borderId="3" xfId="8" applyFont="1" applyBorder="1" applyAlignment="1">
      <alignment horizontal="center"/>
    </xf>
    <xf numFmtId="0" fontId="2" fillId="0" borderId="0" xfId="8" applyAlignment="1">
      <alignment horizontal="right"/>
    </xf>
    <xf numFmtId="2" fontId="2" fillId="0" borderId="0" xfId="8" applyNumberFormat="1" applyAlignment="1">
      <alignment horizontal="center"/>
    </xf>
    <xf numFmtId="0" fontId="2" fillId="0" borderId="1" xfId="8" applyBorder="1" applyAlignment="1">
      <alignment horizontal="center"/>
    </xf>
    <xf numFmtId="166" fontId="2" fillId="0" borderId="0" xfId="8" applyNumberFormat="1" applyAlignment="1">
      <alignment horizontal="center"/>
    </xf>
    <xf numFmtId="11" fontId="2" fillId="0" borderId="0" xfId="8" applyNumberFormat="1" applyAlignment="1">
      <alignment horizontal="center"/>
    </xf>
    <xf numFmtId="1" fontId="2" fillId="0" borderId="0" xfId="8" applyNumberFormat="1" applyAlignment="1">
      <alignment horizontal="center"/>
    </xf>
    <xf numFmtId="2" fontId="2" fillId="0" borderId="2" xfId="8" applyNumberFormat="1" applyBorder="1" applyAlignment="1">
      <alignment horizontal="center"/>
    </xf>
    <xf numFmtId="0" fontId="25" fillId="0" borderId="9" xfId="8" applyFont="1" applyBorder="1" applyAlignment="1">
      <alignment horizontal="center"/>
    </xf>
    <xf numFmtId="0" fontId="2" fillId="0" borderId="9" xfId="8" applyBorder="1" applyAlignment="1">
      <alignment horizontal="center"/>
    </xf>
    <xf numFmtId="0" fontId="25" fillId="0" borderId="10" xfId="8" applyFont="1" applyBorder="1" applyAlignment="1">
      <alignment horizontal="center"/>
    </xf>
    <xf numFmtId="2" fontId="2" fillId="0" borderId="1" xfId="8" applyNumberFormat="1" applyBorder="1" applyAlignment="1">
      <alignment horizontal="center"/>
    </xf>
    <xf numFmtId="1" fontId="2" fillId="0" borderId="7" xfId="8" applyNumberFormat="1" applyBorder="1" applyAlignment="1">
      <alignment horizontal="center"/>
    </xf>
    <xf numFmtId="165" fontId="2" fillId="0" borderId="7" xfId="8" applyNumberFormat="1" applyBorder="1" applyAlignment="1">
      <alignment horizontal="center"/>
    </xf>
    <xf numFmtId="168" fontId="2" fillId="0" borderId="7" xfId="8" applyNumberFormat="1" applyBorder="1" applyAlignment="1">
      <alignment horizontal="center"/>
    </xf>
    <xf numFmtId="11" fontId="2" fillId="0" borderId="7" xfId="8" applyNumberFormat="1" applyBorder="1" applyAlignment="1">
      <alignment horizontal="center"/>
    </xf>
    <xf numFmtId="166" fontId="2" fillId="0" borderId="7" xfId="8" applyNumberFormat="1" applyBorder="1" applyAlignment="1">
      <alignment horizontal="center"/>
    </xf>
    <xf numFmtId="165" fontId="2" fillId="0" borderId="8" xfId="8" applyNumberFormat="1" applyBorder="1" applyAlignment="1">
      <alignment horizontal="center"/>
    </xf>
    <xf numFmtId="165" fontId="2" fillId="0" borderId="11" xfId="8" applyNumberFormat="1" applyBorder="1" applyAlignment="1">
      <alignment horizontal="center"/>
    </xf>
    <xf numFmtId="2" fontId="2" fillId="0" borderId="11" xfId="8" applyNumberFormat="1" applyBorder="1" applyAlignment="1">
      <alignment horizontal="center"/>
    </xf>
    <xf numFmtId="0" fontId="2" fillId="0" borderId="11" xfId="8" applyBorder="1"/>
    <xf numFmtId="166" fontId="2" fillId="0" borderId="11" xfId="8" applyNumberFormat="1" applyBorder="1" applyAlignment="1">
      <alignment horizontal="center"/>
    </xf>
    <xf numFmtId="2" fontId="2" fillId="0" borderId="0" xfId="8" applyNumberFormat="1" applyAlignment="1">
      <alignment horizontal="left"/>
    </xf>
    <xf numFmtId="0" fontId="36" fillId="0" borderId="0" xfId="8" applyFont="1"/>
    <xf numFmtId="168" fontId="2" fillId="0" borderId="0" xfId="8" applyNumberFormat="1"/>
    <xf numFmtId="168" fontId="2" fillId="0" borderId="0" xfId="8" applyNumberFormat="1" applyAlignment="1">
      <alignment horizontal="center"/>
    </xf>
    <xf numFmtId="165" fontId="2" fillId="0" borderId="0" xfId="8" applyNumberFormat="1"/>
    <xf numFmtId="164" fontId="2" fillId="0" borderId="0" xfId="8" applyNumberFormat="1" applyAlignment="1">
      <alignment horizontal="center"/>
    </xf>
    <xf numFmtId="11" fontId="2" fillId="0" borderId="0" xfId="8" applyNumberFormat="1"/>
    <xf numFmtId="172" fontId="2" fillId="0" borderId="0" xfId="8" applyNumberFormat="1" applyAlignment="1">
      <alignment horizontal="center"/>
    </xf>
    <xf numFmtId="0" fontId="2" fillId="0" borderId="0" xfId="1" applyFont="1"/>
    <xf numFmtId="167" fontId="2" fillId="0" borderId="0" xfId="8" applyNumberFormat="1" applyAlignment="1">
      <alignment horizontal="center"/>
    </xf>
    <xf numFmtId="0" fontId="2" fillId="0" borderId="2" xfId="8" applyBorder="1" applyAlignment="1">
      <alignment horizontal="center"/>
    </xf>
    <xf numFmtId="164" fontId="2" fillId="0" borderId="3" xfId="8" applyNumberFormat="1" applyBorder="1" applyAlignment="1">
      <alignment horizontal="center"/>
    </xf>
    <xf numFmtId="0" fontId="2" fillId="0" borderId="3" xfId="8" applyBorder="1" applyAlignment="1">
      <alignment horizontal="center"/>
    </xf>
    <xf numFmtId="0" fontId="25" fillId="0" borderId="0" xfId="8" applyFont="1" applyAlignment="1">
      <alignment horizontal="center"/>
    </xf>
    <xf numFmtId="0" fontId="2" fillId="0" borderId="0" xfId="8" applyAlignment="1">
      <alignment horizontal="center"/>
    </xf>
    <xf numFmtId="165" fontId="2" fillId="0" borderId="0" xfId="8" applyNumberFormat="1" applyAlignment="1">
      <alignment horizontal="center"/>
    </xf>
    <xf numFmtId="166" fontId="2" fillId="0" borderId="0" xfId="8" applyNumberFormat="1"/>
    <xf numFmtId="0" fontId="25" fillId="0" borderId="1" xfId="8" applyFont="1" applyBorder="1" applyAlignment="1">
      <alignment horizontal="center"/>
    </xf>
    <xf numFmtId="0" fontId="2" fillId="0" borderId="3" xfId="8" applyBorder="1"/>
    <xf numFmtId="0" fontId="2" fillId="0" borderId="4" xfId="8" applyBorder="1" applyAlignment="1">
      <alignment horizontal="center"/>
    </xf>
    <xf numFmtId="174" fontId="2" fillId="0" borderId="5" xfId="8" applyNumberFormat="1" applyBorder="1" applyAlignment="1">
      <alignment horizontal="center"/>
    </xf>
    <xf numFmtId="169" fontId="2" fillId="0" borderId="6" xfId="8" applyNumberFormat="1" applyBorder="1" applyAlignment="1">
      <alignment horizontal="center"/>
    </xf>
    <xf numFmtId="174" fontId="2" fillId="0" borderId="7" xfId="8" applyNumberFormat="1" applyBorder="1" applyAlignment="1">
      <alignment horizontal="center"/>
    </xf>
    <xf numFmtId="169" fontId="2" fillId="0" borderId="8" xfId="8" applyNumberFormat="1" applyBorder="1" applyAlignment="1">
      <alignment horizontal="center"/>
    </xf>
    <xf numFmtId="0" fontId="27" fillId="0" borderId="0" xfId="8" applyFont="1" applyAlignment="1">
      <alignment horizontal="right"/>
    </xf>
    <xf numFmtId="169" fontId="2" fillId="0" borderId="0" xfId="8" applyNumberFormat="1" applyAlignment="1">
      <alignment horizontal="center"/>
    </xf>
    <xf numFmtId="173" fontId="2" fillId="0" borderId="5" xfId="8" applyNumberFormat="1" applyBorder="1" applyAlignment="1">
      <alignment horizontal="center"/>
    </xf>
    <xf numFmtId="173" fontId="2" fillId="0" borderId="7" xfId="8" applyNumberFormat="1" applyBorder="1" applyAlignment="1">
      <alignment horizontal="center"/>
    </xf>
    <xf numFmtId="170" fontId="2" fillId="0" borderId="0" xfId="8" applyNumberFormat="1" applyAlignment="1">
      <alignment horizontal="center"/>
    </xf>
    <xf numFmtId="172" fontId="2" fillId="0" borderId="0" xfId="8" applyNumberFormat="1"/>
    <xf numFmtId="11" fontId="21" fillId="0" borderId="0" xfId="1" applyNumberFormat="1"/>
  </cellXfs>
  <cellStyles count="9">
    <cellStyle name="Normal" xfId="0" builtinId="0"/>
    <cellStyle name="Normal 2" xfId="1" xr:uid="{00000000-0005-0000-0000-000001000000}"/>
    <cellStyle name="Normal 2 2" xfId="3" xr:uid="{00000000-0005-0000-0000-000002000000}"/>
    <cellStyle name="Normal 2 2 2" xfId="6" xr:uid="{890674BB-6BAD-4468-89F3-DF12859A4578}"/>
    <cellStyle name="Normal 2 2 2 2" xfId="7" xr:uid="{9EE75078-D0EE-4047-84D2-8E70D49501C5}"/>
    <cellStyle name="Normal 2 2 2 3" xfId="8" xr:uid="{427B0459-0F4F-4306-AD18-E43740562D6D}"/>
    <cellStyle name="Normal 3" xfId="2" xr:uid="{00000000-0005-0000-0000-000003000000}"/>
    <cellStyle name="Normal 3 2" xfId="4" xr:uid="{00000000-0005-0000-0000-000004000000}"/>
    <cellStyle name="Normal 3 2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15876</xdr:colOff>
      <xdr:row>2</xdr:row>
      <xdr:rowOff>31749</xdr:rowOff>
    </xdr:from>
    <xdr:ext cx="2697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6127751" y="412749"/>
              <a:ext cx="269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127751" y="412749"/>
              <a:ext cx="269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2790825</xdr:colOff>
      <xdr:row>19</xdr:row>
      <xdr:rowOff>4762</xdr:rowOff>
    </xdr:from>
    <xdr:ext cx="240771" cy="189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790825" y="4062412"/>
              <a:ext cx="240771" cy="189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𝑖𝑖</m:t>
                        </m:r>
                      </m:sub>
                      <m:sup>
                        <m:r>
                          <m:rPr>
                            <m:sty m:val="p"/>
                          </m:rPr>
                          <a:rPr lang="en-GB" sz="1100" b="0" i="0">
                            <a:latin typeface="Cambria Math" panose="02040503050406030204" pitchFamily="18" charset="0"/>
                          </a:rPr>
                          <m:t>hs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790825" y="4062412"/>
              <a:ext cx="240771" cy="189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𝑔_𝑖𝑖^hs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590550</xdr:colOff>
      <xdr:row>12</xdr:row>
      <xdr:rowOff>9525</xdr:rowOff>
    </xdr:from>
    <xdr:ext cx="2971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7734300" y="2162175"/>
              <a:ext cx="2971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734300" y="2162175"/>
              <a:ext cx="2971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𝑚 ̅=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12</xdr:col>
      <xdr:colOff>201612</xdr:colOff>
      <xdr:row>6</xdr:row>
      <xdr:rowOff>38100</xdr:rowOff>
    </xdr:from>
    <xdr:ext cx="393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14433550" y="1339850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4433550" y="1339850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𝑎_𝑖 (𝑚 ̅)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169862</xdr:colOff>
      <xdr:row>6</xdr:row>
      <xdr:rowOff>22225</xdr:rowOff>
    </xdr:from>
    <xdr:ext cx="393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5163800" y="1323975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15163800" y="1323975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𝑏_𝑖 (𝑚 ̅)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95250</xdr:colOff>
      <xdr:row>6</xdr:row>
      <xdr:rowOff>22225</xdr:rowOff>
    </xdr:from>
    <xdr:ext cx="51725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15851188" y="1323975"/>
              <a:ext cx="51725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5851188" y="1323975"/>
              <a:ext cx="51725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𝑎_𝑖 (𝑚 ̅)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𝜂^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71437</xdr:colOff>
      <xdr:row>6</xdr:row>
      <xdr:rowOff>28575</xdr:rowOff>
    </xdr:from>
    <xdr:ext cx="51725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16525875" y="1330325"/>
              <a:ext cx="51725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6525875" y="1330325"/>
              <a:ext cx="51725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𝑏_𝑖 (𝑚 ̅)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𝜂^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257185</xdr:colOff>
      <xdr:row>15</xdr:row>
      <xdr:rowOff>33339</xdr:rowOff>
    </xdr:from>
    <xdr:ext cx="65210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3520748" y="3232152"/>
              <a:ext cx="65210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13520748" y="3232152"/>
              <a:ext cx="65210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𝐼_1 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𝜂,</a:t>
              </a:r>
              <a:r>
                <a:rPr lang="en-GB" sz="1100" b="0" i="0">
                  <a:latin typeface="Cambria Math" panose="02040503050406030204" pitchFamily="18" charset="0"/>
                </a:rPr>
                <a:t>𝑚 ̅ )=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277822</xdr:colOff>
      <xdr:row>17</xdr:row>
      <xdr:rowOff>28575</xdr:rowOff>
    </xdr:from>
    <xdr:ext cx="65537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3541385" y="3687763"/>
              <a:ext cx="65537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13541385" y="3687763"/>
              <a:ext cx="65537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𝐼_2 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𝜂,</a:t>
              </a:r>
              <a:r>
                <a:rPr lang="en-GB" sz="1100" b="0" i="0">
                  <a:latin typeface="Cambria Math" panose="02040503050406030204" pitchFamily="18" charset="0"/>
                </a:rPr>
                <a:t>𝑚 ̅ )=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660409</xdr:colOff>
      <xdr:row>19</xdr:row>
      <xdr:rowOff>12699</xdr:rowOff>
    </xdr:from>
    <xdr:ext cx="3145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1360159" y="4124324"/>
              <a:ext cx="3145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11360159" y="4124324"/>
              <a:ext cx="3145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𝐶_1=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377833</xdr:colOff>
      <xdr:row>21</xdr:row>
      <xdr:rowOff>0</xdr:rowOff>
    </xdr:from>
    <xdr:ext cx="587404" cy="1886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1077583" y="4532313"/>
              <a:ext cx="587404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11077583" y="4532313"/>
              <a:ext cx="587404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(𝑚^2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𝜀𝜎^3 ) ̅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315919</xdr:colOff>
      <xdr:row>23</xdr:row>
      <xdr:rowOff>9532</xdr:rowOff>
    </xdr:from>
    <xdr:ext cx="666657" cy="1886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1015669" y="4922845"/>
              <a:ext cx="666657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𝜀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11015669" y="4922845"/>
              <a:ext cx="666657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(𝑚^2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𝜀^2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𝜎^3 ) ̅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531812</xdr:colOff>
      <xdr:row>3</xdr:row>
      <xdr:rowOff>31750</xdr:rowOff>
    </xdr:from>
    <xdr:ext cx="355867" cy="1921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 txBox="1"/>
          </xdr:nvSpPr>
          <xdr:spPr>
            <a:xfrm>
              <a:off x="7683500" y="635000"/>
              <a:ext cx="355867" cy="192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hc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7683500" y="635000"/>
              <a:ext cx="355867" cy="192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hc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0</xdr:col>
      <xdr:colOff>1404937</xdr:colOff>
      <xdr:row>20</xdr:row>
      <xdr:rowOff>222249</xdr:rowOff>
    </xdr:from>
    <xdr:ext cx="365613" cy="1979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 txBox="1"/>
          </xdr:nvSpPr>
          <xdr:spPr>
            <a:xfrm>
              <a:off x="1404937" y="4532312"/>
              <a:ext cx="365613" cy="197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100" b="0" i="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sSubSup>
                          <m:sSub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𝑔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𝑖𝑖</m:t>
                            </m:r>
                          </m:sub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hs</m:t>
                            </m:r>
                          </m:sup>
                        </m:sSubSup>
                      </m:e>
                    </m:func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1404937" y="4532312"/>
              <a:ext cx="365613" cy="197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ln⁡〖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𝑔_𝑖𝑖^hs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539751</xdr:colOff>
      <xdr:row>10</xdr:row>
      <xdr:rowOff>7937</xdr:rowOff>
    </xdr:from>
    <xdr:ext cx="355867" cy="1921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 txBox="1"/>
          </xdr:nvSpPr>
          <xdr:spPr>
            <a:xfrm>
              <a:off x="7691439" y="2214562"/>
              <a:ext cx="355867" cy="192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7691439" y="2214562"/>
              <a:ext cx="355867" cy="192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508001</xdr:colOff>
      <xdr:row>3</xdr:row>
      <xdr:rowOff>31751</xdr:rowOff>
    </xdr:from>
    <xdr:ext cx="467500" cy="193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 txBox="1"/>
          </xdr:nvSpPr>
          <xdr:spPr>
            <a:xfrm>
              <a:off x="11303001" y="635001"/>
              <a:ext cx="467500" cy="193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disp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1" name="TextBox 30"/>
            <xdr:cNvSpPr txBox="1"/>
          </xdr:nvSpPr>
          <xdr:spPr>
            <a:xfrm>
              <a:off x="11303001" y="635001"/>
              <a:ext cx="467500" cy="193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disp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309567</xdr:colOff>
      <xdr:row>3</xdr:row>
      <xdr:rowOff>39690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17049755" y="642940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2" name="TextBox 31"/>
            <xdr:cNvSpPr txBox="1"/>
          </xdr:nvSpPr>
          <xdr:spPr>
            <a:xfrm>
              <a:off x="17049755" y="642940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301635</xdr:colOff>
      <xdr:row>5</xdr:row>
      <xdr:rowOff>39690</xdr:rowOff>
    </xdr:from>
    <xdr:ext cx="419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17041823" y="1103315"/>
              <a:ext cx="419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A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17041823" y="1103315"/>
              <a:ext cx="419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"A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334967</xdr:colOff>
      <xdr:row>7</xdr:row>
      <xdr:rowOff>49215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 txBox="1"/>
          </xdr:nvSpPr>
          <xdr:spPr>
            <a:xfrm>
              <a:off x="17075155" y="1589090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>
              <a:off x="17075155" y="1589090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42862</xdr:colOff>
      <xdr:row>17</xdr:row>
      <xdr:rowOff>161920</xdr:rowOff>
    </xdr:from>
    <xdr:ext cx="1870064" cy="2898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6297612" y="3821108"/>
              <a:ext cx="1870064" cy="2898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1−0.12</m:t>
                        </m:r>
                        <m:func>
                          <m:func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latin typeface="Cambria Math" panose="02040503050406030204" pitchFamily="18" charset="0"/>
                              </a:rPr>
                              <m:t>exp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−3</m:t>
                                </m:r>
                                <m:f>
                                  <m:fPr>
                                    <m:ctrlPr>
                                      <a:rPr lang="en-GB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GB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𝜀</m:t>
                                        </m:r>
                                      </m:e>
                                      <m:sub>
                                        <m:r>
                                          <a:rPr lang="en-GB" sz="11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GB" sz="1100" b="0" i="1">
                                        <a:latin typeface="Cambria Math" panose="02040503050406030204" pitchFamily="18" charset="0"/>
                                      </a:rPr>
                                      <m:t>𝑘𝑇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297612" y="3821108"/>
              <a:ext cx="1870064" cy="2898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𝑑_𝑖=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 [1−0.12 exp⁡(−3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</a:t>
              </a:r>
              <a:r>
                <a:rPr lang="en-GB" sz="1100" b="0" i="0">
                  <a:latin typeface="Cambria Math" panose="02040503050406030204" pitchFamily="18" charset="0"/>
                </a:rPr>
                <a:t>𝑖/𝑘𝑇) ]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26989</xdr:colOff>
      <xdr:row>19</xdr:row>
      <xdr:rowOff>26987</xdr:rowOff>
    </xdr:from>
    <xdr:ext cx="3629007" cy="441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6281739" y="4146550"/>
              <a:ext cx="3629007" cy="44133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h𝑠</m:t>
                        </m:r>
                      </m:sup>
                    </m:sSub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(1−</m:t>
                        </m:r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</m:den>
                        </m:f>
                      </m:e>
                    </m:d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𝜁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(1−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(1−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281739" y="4146550"/>
              <a:ext cx="3629007" cy="44133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𝑔_𝑖𝑗^ℎ𝑠=1/((1−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GB" sz="1100" b="0" i="0">
                  <a:latin typeface="Cambria Math" panose="02040503050406030204" pitchFamily="18" charset="0"/>
                </a:rPr>
                <a:t>3))+((𝑑_𝑖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𝑑_𝑗)/(𝑑_𝑖+𝑑_𝑗 ))  𝜁_2/〖(1−𝜁_3)〗^2 +((𝑑_𝑖 𝑑_𝑗)/(𝑑_𝑖+𝑑_𝑗 ))^2  〖𝜁_2〗^2/〖(1−𝜁_3)〗^3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10</xdr:col>
      <xdr:colOff>19049</xdr:colOff>
      <xdr:row>6</xdr:row>
      <xdr:rowOff>58737</xdr:rowOff>
    </xdr:from>
    <xdr:ext cx="2221506" cy="410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0202862" y="1360487"/>
              <a:ext cx="2221506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e>
                    </m:nary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 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𝑛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∈</m:t>
                    </m:r>
                    <m:d>
                      <m:dPr>
                        <m:begChr m:val="{"/>
                        <m:endChr m:val="}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0, 1, 2, 3</m:t>
                        </m:r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0202862" y="1360487"/>
              <a:ext cx="2221506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GB" sz="1100" b="0" i="0">
                  <a:latin typeface="Cambria Math" panose="02040503050406030204" pitchFamily="18" charset="0"/>
                </a:rPr>
                <a:t>𝑛=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n-GB" sz="1100" b="0" i="0">
                  <a:latin typeface="Cambria Math" panose="02040503050406030204" pitchFamily="18" charset="0"/>
                </a:rPr>
                <a:t>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𝜌∑8_𝑖▒〖𝑥_𝑖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〖𝑑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〗^𝑛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〗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 𝑛∈{0, 1, 2, 3}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9</xdr:col>
      <xdr:colOff>171448</xdr:colOff>
      <xdr:row>11</xdr:row>
      <xdr:rowOff>139700</xdr:rowOff>
    </xdr:from>
    <xdr:ext cx="820353" cy="410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 txBox="1"/>
          </xdr:nvSpPr>
          <xdr:spPr>
            <a:xfrm>
              <a:off x="9648823" y="2536825"/>
              <a:ext cx="820353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9648823" y="2536825"/>
              <a:ext cx="820353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 ̅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𝑚_𝑖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9</xdr:col>
      <xdr:colOff>179389</xdr:colOff>
      <xdr:row>9</xdr:row>
      <xdr:rowOff>76200</xdr:rowOff>
    </xdr:from>
    <xdr:ext cx="3535648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 txBox="1"/>
          </xdr:nvSpPr>
          <xdr:spPr>
            <a:xfrm>
              <a:off x="9656764" y="2092325"/>
              <a:ext cx="3535648" cy="43903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d>
                      <m:dPr>
                        <m:begChr m:val="["/>
                        <m:endChr m:val="]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(1−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(1−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sSub>
                                      <m:sSub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sSub>
                                      <m:sSub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p>
                                </m:sSup>
                              </m:den>
                            </m:f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1−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b>
                                </m:sSub>
                              </m:e>
                            </m:d>
                          </m:e>
                        </m:func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9656764" y="2092325"/>
              <a:ext cx="3535648" cy="43903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hs</a:t>
              </a:r>
              <a:r>
                <a:rPr lang="en-GB" sz="1100" b="0" i="0">
                  <a:latin typeface="Cambria Math" panose="02040503050406030204" pitchFamily="18" charset="0"/>
                </a:rPr>
                <a:t>=1/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GB" sz="1100" b="0" i="0">
                  <a:latin typeface="Cambria Math" panose="02040503050406030204" pitchFamily="18" charset="0"/>
                </a:rPr>
                <a:t>0  [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(〖3𝜁〗_1 𝜁_2)/(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(1−𝜁_3)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𝜁_2〗^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(1−𝜁_3)〗^2 +(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𝜁_2〗^3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𝜁_0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 ln⁡(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1−𝜁_3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]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9</xdr:col>
      <xdr:colOff>147637</xdr:colOff>
      <xdr:row>2</xdr:row>
      <xdr:rowOff>179387</xdr:rowOff>
    </xdr:from>
    <xdr:ext cx="2103717" cy="410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9625012" y="560387"/>
              <a:ext cx="2103717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hc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hs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e>
                        </m:d>
                        <m:func>
                          <m:func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sSubSup>
                              <m:sSubSup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𝑔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h𝑠</m:t>
                                </m:r>
                              </m:sup>
                            </m:sSubSup>
                          </m:e>
                        </m:func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625012" y="560387"/>
              <a:ext cx="2103717" cy="4107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hc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𝑥_𝑖 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ln⁡〖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𝑔_𝑖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^ℎ𝑠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103194</xdr:colOff>
      <xdr:row>23</xdr:row>
      <xdr:rowOff>11120</xdr:rowOff>
    </xdr:from>
    <xdr:ext cx="2321661" cy="43255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15859132" y="4932370"/>
              <a:ext cx="2321661" cy="43255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𝜀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nary>
                          <m:naryPr>
                            <m:chr m:val="∑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  <m:sup/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𝜀</m:t>
                                            </m:r>
                                          </m:e>
                                          <m:sub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𝑖𝑗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𝑘𝑇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e>
                        </m:nary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𝑖𝑗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15859132" y="4932370"/>
              <a:ext cx="2321661" cy="43255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(𝑚^2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𝜀^2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𝜎^3 ) ̅</a:t>
              </a:r>
              <a:r>
                <a:rPr lang="en-GB" sz="1100" b="0" i="0">
                  <a:latin typeface="Cambria Math" panose="02040503050406030204" pitchFamily="18" charset="0"/>
                </a:rPr>
                <a:t>=∑8_𝑖▒〖∑8_𝑗▒〖𝑥_𝑖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(𝜀_𝑖𝑗/𝑘𝑇)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〗 〖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𝑖𝑗〗^3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112720</xdr:colOff>
      <xdr:row>20</xdr:row>
      <xdr:rowOff>163519</xdr:rowOff>
    </xdr:from>
    <xdr:ext cx="2187394" cy="4299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 txBox="1"/>
          </xdr:nvSpPr>
          <xdr:spPr>
            <a:xfrm>
              <a:off x="15868658" y="4473582"/>
              <a:ext cx="2187394" cy="42992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𝜀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/>
                      <m:e>
                        <m:nary>
                          <m:naryPr>
                            <m:chr m:val="∑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  <m:sup/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𝜀</m:t>
                                        </m:r>
                                      </m:e>
                                      <m:sub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𝑖𝑗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𝑘𝑇</m:t>
                                    </m:r>
                                  </m:den>
                                </m:f>
                              </m:e>
                            </m:d>
                          </m:e>
                        </m:nary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𝑖𝑗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5" name="TextBox 34"/>
            <xdr:cNvSpPr txBox="1"/>
          </xdr:nvSpPr>
          <xdr:spPr>
            <a:xfrm>
              <a:off x="15868658" y="4473582"/>
              <a:ext cx="2187394" cy="42992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(𝑚^2 𝜀𝜎^3 ) ̅</a:t>
              </a:r>
              <a:r>
                <a:rPr lang="en-GB" sz="1100" b="0" i="0">
                  <a:latin typeface="Cambria Math" panose="02040503050406030204" pitchFamily="18" charset="0"/>
                </a:rPr>
                <a:t>=∑8_𝑖▒〖∑8_𝑗▒〖𝑥_𝑖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_𝑗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𝜀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_𝑖𝑗/𝑘𝑇)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〗 〖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𝑖𝑗〗^3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227012</xdr:colOff>
      <xdr:row>11</xdr:row>
      <xdr:rowOff>7938</xdr:rowOff>
    </xdr:from>
    <xdr:ext cx="393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SpPr txBox="1"/>
          </xdr:nvSpPr>
          <xdr:spPr>
            <a:xfrm>
              <a:off x="18078450" y="2405063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6" name="TextBox 35"/>
            <xdr:cNvSpPr txBox="1"/>
          </xdr:nvSpPr>
          <xdr:spPr>
            <a:xfrm>
              <a:off x="18078450" y="2405063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𝑎_𝑖 (𝑚 ̅)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242887</xdr:colOff>
      <xdr:row>13</xdr:row>
      <xdr:rowOff>15875</xdr:rowOff>
    </xdr:from>
    <xdr:ext cx="393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 txBox="1"/>
          </xdr:nvSpPr>
          <xdr:spPr>
            <a:xfrm>
              <a:off x="18094325" y="2794000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acc>
                      <m:accPr>
                        <m:chr m:val="̅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18094325" y="2794000"/>
              <a:ext cx="393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𝑏_𝑖 (𝑚 ̅)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188912</xdr:colOff>
      <xdr:row>12</xdr:row>
      <xdr:rowOff>128588</xdr:rowOff>
    </xdr:from>
    <xdr:ext cx="2601481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19524662" y="2716213"/>
              <a:ext cx="2601481" cy="3179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9" name="TextBox 38"/>
            <xdr:cNvSpPr txBox="1"/>
          </xdr:nvSpPr>
          <xdr:spPr>
            <a:xfrm>
              <a:off x="19524662" y="2716213"/>
              <a:ext cx="2601481" cy="3179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𝑏_𝑖 (𝑚 ̅ )=𝑏_0𝑖+(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(𝑚 ̅−1)/𝑚 ̅   (𝑚 ̅−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)/𝑚 ̅  𝑏_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214311</xdr:colOff>
      <xdr:row>10</xdr:row>
      <xdr:rowOff>130173</xdr:rowOff>
    </xdr:from>
    <xdr:ext cx="2601481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19550061" y="2336798"/>
              <a:ext cx="2601481" cy="3179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num>
                      <m:den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den>
                    </m:f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0" name="TextBox 39"/>
            <xdr:cNvSpPr txBox="1"/>
          </xdr:nvSpPr>
          <xdr:spPr>
            <a:xfrm>
              <a:off x="19550061" y="2336798"/>
              <a:ext cx="2601481" cy="3179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𝑎_𝑖 (𝑚 ̅ )=𝑎_0𝑖+(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(𝑚 ̅−1)/𝑚 ̅   (𝑚 ̅−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)/𝑚 ̅ 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21</xdr:col>
      <xdr:colOff>41279</xdr:colOff>
      <xdr:row>3</xdr:row>
      <xdr:rowOff>33340</xdr:rowOff>
    </xdr:from>
    <xdr:ext cx="1064074" cy="1921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21623342" y="636590"/>
              <a:ext cx="1064074" cy="19216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hc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disp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21623342" y="636590"/>
              <a:ext cx="1064074" cy="19216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hc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disp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21</xdr:col>
      <xdr:colOff>812805</xdr:colOff>
      <xdr:row>4</xdr:row>
      <xdr:rowOff>177803</xdr:rowOff>
    </xdr:from>
    <xdr:ext cx="714875" cy="3296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22394868" y="1019178"/>
              <a:ext cx="714875" cy="32964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A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𝑁𝑘𝑇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2" name="TextBox 41"/>
            <xdr:cNvSpPr txBox="1"/>
          </xdr:nvSpPr>
          <xdr:spPr>
            <a:xfrm>
              <a:off x="22394868" y="1019178"/>
              <a:ext cx="714875" cy="32964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"A" ^res/𝑁𝑘𝑇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139709</xdr:colOff>
      <xdr:row>14</xdr:row>
      <xdr:rowOff>42865</xdr:rowOff>
    </xdr:from>
    <xdr:ext cx="1409680" cy="4937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15895647" y="3011490"/>
              <a:ext cx="1409680" cy="493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=0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</m:sup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  <m:sSup>
                          <m:sSupPr>
                            <m:ctrlPr>
                              <a:rPr lang="en-GB" i="1">
                                <a:effectLst/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p>
                            <m:r>
                              <a:rPr lang="en-GB" b="0" i="1">
                                <a:effectLst/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/>
            <xdr:cNvSpPr txBox="1"/>
          </xdr:nvSpPr>
          <xdr:spPr>
            <a:xfrm>
              <a:off x="15895647" y="3011490"/>
              <a:ext cx="1409680" cy="493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𝐼_1 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𝜂,</a:t>
              </a:r>
              <a:r>
                <a:rPr lang="en-GB" sz="1100" b="0" i="0">
                  <a:latin typeface="Cambria Math" panose="02040503050406030204" pitchFamily="18" charset="0"/>
                </a:rPr>
                <a:t>𝑚 ̅ )=∑24_(𝑖=0)^6▒〖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𝑎_𝑖 (𝑚 ̅)"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i="0">
                  <a:effectLst/>
                  <a:latin typeface="Cambria Math" panose="02040503050406030204" pitchFamily="18" charset="0"/>
                  <a:ea typeface="Cambria Math" panose="02040503050406030204" pitchFamily="18" charset="0"/>
                </a:rPr>
                <a:t>𝜂^</a:t>
              </a:r>
              <a:r>
                <a:rPr lang="en-GB" b="0" i="0">
                  <a:effectLst/>
                  <a:latin typeface="Cambria Math" panose="02040503050406030204" pitchFamily="18" charset="0"/>
                </a:rPr>
                <a:t>𝑖</a:t>
              </a:r>
              <a:r>
                <a:rPr lang="en-GB" sz="1100" b="0" i="0">
                  <a:effectLst/>
                  <a:latin typeface="Cambria Math" panose="02040503050406030204" pitchFamily="18" charset="0"/>
                </a:rPr>
                <a:t>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141298</xdr:colOff>
      <xdr:row>16</xdr:row>
      <xdr:rowOff>68265</xdr:rowOff>
    </xdr:from>
    <xdr:ext cx="1409680" cy="4937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15897236" y="3497265"/>
              <a:ext cx="1409680" cy="493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𝜂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=0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</m:sup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  <m:sSup>
                          <m:sSupPr>
                            <m:ctrlPr>
                              <a:rPr lang="en-GB" i="1">
                                <a:effectLst/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p>
                            <m:r>
                              <a:rPr lang="en-GB" b="0" i="1">
                                <a:effectLst/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4" name="TextBox 43"/>
            <xdr:cNvSpPr txBox="1"/>
          </xdr:nvSpPr>
          <xdr:spPr>
            <a:xfrm>
              <a:off x="15897236" y="3497265"/>
              <a:ext cx="1409680" cy="493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𝐼_2 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𝜂,</a:t>
              </a:r>
              <a:r>
                <a:rPr lang="en-GB" sz="1100" b="0" i="0">
                  <a:latin typeface="Cambria Math" panose="02040503050406030204" pitchFamily="18" charset="0"/>
                </a:rPr>
                <a:t>𝑚 ̅ )=∑24_(𝑖=0)^6▒〖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_𝑖 (𝑚 ̅)"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i="0">
                  <a:effectLst/>
                  <a:latin typeface="Cambria Math" panose="02040503050406030204" pitchFamily="18" charset="0"/>
                  <a:ea typeface="Cambria Math" panose="02040503050406030204" pitchFamily="18" charset="0"/>
                </a:rPr>
                <a:t>𝜂^</a:t>
              </a:r>
              <a:r>
                <a:rPr lang="en-GB" b="0" i="0">
                  <a:effectLst/>
                  <a:latin typeface="Cambria Math" panose="02040503050406030204" pitchFamily="18" charset="0"/>
                </a:rPr>
                <a:t>𝑖</a:t>
              </a:r>
              <a:r>
                <a:rPr lang="en-GB" sz="1100" b="0" i="0">
                  <a:effectLst/>
                  <a:latin typeface="Cambria Math" panose="02040503050406030204" pitchFamily="18" charset="0"/>
                </a:rPr>
                <a:t>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138123</xdr:colOff>
      <xdr:row>18</xdr:row>
      <xdr:rowOff>109538</xdr:rowOff>
    </xdr:from>
    <xdr:ext cx="3799502" cy="4212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15894061" y="3998913"/>
              <a:ext cx="3799502" cy="4212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acc>
                              <m:accPr>
                                <m:chr m:val="̅"/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</m:acc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8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𝜂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𝜂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1−</m:t>
                                        </m:r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𝜂</m:t>
                                        </m:r>
                                      </m:e>
                                    </m:d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</m:t>
                                    </m:r>
                                  </m:sup>
                                </m:sSup>
                              </m:den>
                            </m:f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1−</m:t>
                                </m:r>
                                <m:acc>
                                  <m:accPr>
                                    <m:chr m:val="̅"/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</m:e>
                                </m:acc>
                              </m:e>
                            </m:d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20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𝜂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−27</m:t>
                                </m:r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𝜂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+12</m:t>
                                </m:r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𝜂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3</m:t>
                                    </m:r>
                                  </m:sup>
                                </m:s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−2</m:t>
                                </m:r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𝜂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4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begChr m:val="["/>
                                        <m:endChr m:val="]"/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d>
                                          <m:d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1−</m:t>
                                            </m:r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𝜂</m:t>
                                            </m:r>
                                          </m:e>
                                        </m:d>
                                        <m:d>
                                          <m:d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2−</m:t>
                                            </m:r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𝜂</m:t>
                                            </m:r>
                                          </m:e>
                                        </m:d>
                                      </m:e>
                                    </m:d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/>
            <xdr:cNvSpPr txBox="1"/>
          </xdr:nvSpPr>
          <xdr:spPr>
            <a:xfrm>
              <a:off x="15894061" y="3998913"/>
              <a:ext cx="3799502" cy="4212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𝐶_1=(1+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𝜂^2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(1−𝜂)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^4 +(1−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 (20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𝜂−27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^2+12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^3−2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^4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)/[(1−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)(2−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)]^2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)^(</a:t>
              </a:r>
              <a:r>
                <a:rPr lang="en-GB" sz="1100" b="0" i="0">
                  <a:latin typeface="Cambria Math" panose="02040503050406030204" pitchFamily="18" charset="0"/>
                </a:rPr>
                <a:t>−1)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74610</xdr:colOff>
      <xdr:row>31</xdr:row>
      <xdr:rowOff>11112</xdr:rowOff>
    </xdr:from>
    <xdr:ext cx="1017971" cy="1949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5068548" y="6575425"/>
              <a:ext cx="1017971" cy="1949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en-GB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½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15068548" y="6575425"/>
              <a:ext cx="1017971" cy="1949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𝑖𝑗=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½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latin typeface="Cambria Math" panose="02040503050406030204" pitchFamily="18" charset="0"/>
                </a:rPr>
                <a:t>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60321</xdr:colOff>
      <xdr:row>37</xdr:row>
      <xdr:rowOff>12701</xdr:rowOff>
    </xdr:from>
    <xdr:ext cx="1234505" cy="2155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15054259" y="7799389"/>
              <a:ext cx="1234505" cy="2155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</m:e>
                    </m:rad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𝑖𝑗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/>
            <xdr:cNvSpPr txBox="1"/>
          </xdr:nvSpPr>
          <xdr:spPr>
            <a:xfrm>
              <a:off x="15054259" y="7799389"/>
              <a:ext cx="1234505" cy="2155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</a:t>
              </a:r>
              <a:r>
                <a:rPr lang="en-GB" sz="1100" b="0" i="0">
                  <a:latin typeface="Cambria Math" panose="02040503050406030204" pitchFamily="18" charset="0"/>
                </a:rPr>
                <a:t>𝑖𝑗=√(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</a:t>
              </a:r>
              <a:r>
                <a:rPr lang="en-GB" sz="1100" b="0" i="0">
                  <a:latin typeface="Cambria Math" panose="02040503050406030204" pitchFamily="18" charset="0"/>
                </a:rPr>
                <a:t>𝑖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𝜀_</a:t>
              </a:r>
              <a:r>
                <a:rPr lang="en-GB" sz="1100" b="0" i="0">
                  <a:latin typeface="Cambria Math" panose="02040503050406030204" pitchFamily="18" charset="0"/>
                </a:rPr>
                <a:t>𝑗 ) (1−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𝑖𝑗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57151</xdr:colOff>
      <xdr:row>3</xdr:row>
      <xdr:rowOff>25400</xdr:rowOff>
    </xdr:from>
    <xdr:ext cx="3280129" cy="193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15813089" y="628650"/>
              <a:ext cx="3280129" cy="19338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disp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=−2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𝜋𝜌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𝜂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e>
                    </m:d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𝜀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e>
                    </m:acc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𝜋𝜌</m:t>
                    </m:r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</m:acc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𝜂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acc>
                          <m:accPr>
                            <m:chr m:val="̅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</m:e>
                    </m:d>
                    <m:acc>
                      <m:accPr>
                        <m:chr m:val="̅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𝜀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e>
                    </m:acc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/>
            <xdr:cNvSpPr txBox="1"/>
          </xdr:nvSpPr>
          <xdr:spPr>
            <a:xfrm>
              <a:off x="15813089" y="628650"/>
              <a:ext cx="3280129" cy="19338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disp</a:t>
              </a:r>
              <a:r>
                <a:rPr lang="en-GB" sz="1100" b="0" i="0">
                  <a:latin typeface="Cambria Math" panose="02040503050406030204" pitchFamily="18" charset="0"/>
                </a:rPr>
                <a:t>=−2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𝜋𝜌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𝐼_1 (𝜂,𝑚 ̅ ) (𝑚^2 𝜀𝜎^3 ) 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𝜋𝜌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 ̅𝐶_1 𝐼_2 (𝜂,𝑚 ̅ ) (𝑚^2 𝜀^2 𝜎^3 ) ̅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11066467" y="250984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11066467" y="250984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690563</xdr:colOff>
      <xdr:row>21</xdr:row>
      <xdr:rowOff>103188</xdr:rowOff>
    </xdr:from>
    <xdr:ext cx="882356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11525251" y="4516438"/>
              <a:ext cx="882356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𝜕𝜂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1525251" y="4516438"/>
              <a:ext cx="882356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𝜕"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)/𝜕𝜂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)_(𝑇,𝑥_𝑖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12</xdr:col>
      <xdr:colOff>515938</xdr:colOff>
      <xdr:row>25</xdr:row>
      <xdr:rowOff>15875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12120563" y="5191125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12120563" y="5191125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247650</xdr:colOff>
      <xdr:row>24</xdr:row>
      <xdr:rowOff>112714</xdr:rowOff>
    </xdr:from>
    <xdr:ext cx="1321131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14003338" y="5097464"/>
              <a:ext cx="1321131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𝑍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=1+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𝜂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𝜕𝜂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4003338" y="5097464"/>
              <a:ext cx="1321131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𝑍=1+𝜂(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𝜕"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)/𝜕𝜂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)_(𝑇,𝑥_𝑖 )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14</xdr:col>
      <xdr:colOff>153988</xdr:colOff>
      <xdr:row>21</xdr:row>
      <xdr:rowOff>138112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298488" y="4551362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3298488" y="4551362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2661904" y="314484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661904" y="314484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373063</xdr:colOff>
      <xdr:row>27</xdr:row>
      <xdr:rowOff>23812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4287501" y="5580062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4287501" y="5580062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261945</xdr:colOff>
      <xdr:row>25</xdr:row>
      <xdr:rowOff>15876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4176383" y="5191126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4176383" y="5191126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239719</xdr:colOff>
      <xdr:row>29</xdr:row>
      <xdr:rowOff>112714</xdr:rowOff>
    </xdr:from>
    <xdr:ext cx="431913" cy="3577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154157" y="6049964"/>
              <a:ext cx="431913" cy="357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ĥ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154157" y="6049964"/>
              <a:ext cx="431913" cy="35779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ĥ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15</xdr:col>
      <xdr:colOff>201618</xdr:colOff>
      <xdr:row>32</xdr:row>
      <xdr:rowOff>130189</xdr:rowOff>
    </xdr:from>
    <xdr:ext cx="419987" cy="34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116056" y="6638939"/>
              <a:ext cx="419987" cy="3407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ŝ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116056" y="6638939"/>
              <a:ext cx="419987" cy="3407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ŝ^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15</xdr:col>
      <xdr:colOff>234953</xdr:colOff>
      <xdr:row>35</xdr:row>
      <xdr:rowOff>92102</xdr:rowOff>
    </xdr:from>
    <xdr:ext cx="429092" cy="34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14149391" y="7172352"/>
              <a:ext cx="429092" cy="3407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ĝ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14149391" y="7172352"/>
              <a:ext cx="429092" cy="3407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ĝ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14</xdr:col>
      <xdr:colOff>468313</xdr:colOff>
      <xdr:row>21</xdr:row>
      <xdr:rowOff>119063</xdr:rowOff>
    </xdr:from>
    <xdr:ext cx="845295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13612813" y="4532313"/>
              <a:ext cx="845295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𝜌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13612813" y="4532313"/>
              <a:ext cx="845295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)/𝜕𝑇)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_(𝜌,𝑥_𝑖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74619</xdr:colOff>
      <xdr:row>29</xdr:row>
      <xdr:rowOff>98427</xdr:rowOff>
    </xdr:from>
    <xdr:ext cx="1947584" cy="4467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3219119" y="6035677"/>
              <a:ext cx="1947584" cy="44678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ĥ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𝑇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𝜌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219119" y="6035677"/>
              <a:ext cx="1947584" cy="44678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ĥ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=−𝑇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((〖𝜕"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)/𝜕𝑇)_(𝜌,𝑥_𝑖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+(𝑍−1)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52393</xdr:colOff>
      <xdr:row>32</xdr:row>
      <xdr:rowOff>92089</xdr:rowOff>
    </xdr:from>
    <xdr:ext cx="2358659" cy="4534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3196893" y="6600839"/>
              <a:ext cx="2358659" cy="45345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ŝ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𝑇</m:t>
                    </m:r>
                    <m:d>
                      <m:dPr>
                        <m:begChr m:val="["/>
                        <m:endChr m:val="]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𝜕</m:t>
                                        </m:r>
                                        <m:r>
                                          <m:rPr>
                                            <m:nor/>
                                          </m:rPr>
                                          <a:rPr lang="en-GB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ã</m:t>
                                        </m:r>
                                      </m:e>
                                      <m:sup>
                                        <m:r>
                                          <m:rPr>
                                            <m:sty m:val="p"/>
                                          </m:rPr>
                                          <a:rPr lang="en-GB" sz="1100" b="0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res</m:t>
                                        </m:r>
                                      </m:sup>
                                    </m:sSup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den>
                                </m:f>
                              </m:e>
                            </m:d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𝜌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ã</m:t>
                                </m:r>
                              </m:e>
                              <m:sup>
                                <m:r>
                                  <m:rPr>
                                    <m:sty m:val="p"/>
                                  </m:rPr>
                                  <a:rPr lang="en-GB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res</m:t>
                                </m:r>
                              </m:sup>
                            </m:sSup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den>
                        </m:f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func>
                      <m:func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𝑍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13196893" y="6600839"/>
              <a:ext cx="2358659" cy="45345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ŝ^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=−𝑇[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𝜕"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)/𝜕𝑇)_(𝜌,𝑥_𝑖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]+ln⁡(𝑍)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77790</xdr:colOff>
      <xdr:row>35</xdr:row>
      <xdr:rowOff>125440</xdr:rowOff>
    </xdr:from>
    <xdr:ext cx="1789208" cy="3380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3222290" y="7205690"/>
              <a:ext cx="1789208" cy="33804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ĝ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unc>
                      <m:func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𝑍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13222290" y="7205690"/>
              <a:ext cx="1789208" cy="33804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ĝ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𝑇=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(𝑍−1)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ln⁡(𝑍)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17</xdr:col>
      <xdr:colOff>261937</xdr:colOff>
      <xdr:row>21</xdr:row>
      <xdr:rowOff>111125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2636500" y="4524375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12636500" y="4524375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A4A987B-D8DB-4B4D-8914-F10BD08DD537}"/>
                </a:ext>
              </a:extLst>
            </xdr:cNvPr>
            <xdr:cNvSpPr txBox="1"/>
          </xdr:nvSpPr>
          <xdr:spPr>
            <a:xfrm>
              <a:off x="9084314" y="26228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A4A987B-D8DB-4B4D-8914-F10BD08DD537}"/>
                </a:ext>
              </a:extLst>
            </xdr:cNvPr>
            <xdr:cNvSpPr txBox="1"/>
          </xdr:nvSpPr>
          <xdr:spPr>
            <a:xfrm>
              <a:off x="9084314" y="26228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349250</xdr:colOff>
      <xdr:row>14</xdr:row>
      <xdr:rowOff>39689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3DD0C82-86AE-48D5-976C-771DB8DE3DC2}"/>
                </a:ext>
              </a:extLst>
            </xdr:cNvPr>
            <xdr:cNvSpPr txBox="1"/>
          </xdr:nvSpPr>
          <xdr:spPr>
            <a:xfrm>
              <a:off x="11666855" y="243998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3DD0C82-86AE-48D5-976C-771DB8DE3DC2}"/>
                </a:ext>
              </a:extLst>
            </xdr:cNvPr>
            <xdr:cNvSpPr txBox="1"/>
          </xdr:nvSpPr>
          <xdr:spPr>
            <a:xfrm>
              <a:off x="11666855" y="243998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206382</xdr:colOff>
      <xdr:row>12</xdr:row>
      <xdr:rowOff>23814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17B50D4-AC02-43A6-B7F5-5E27BADC5129}"/>
                </a:ext>
              </a:extLst>
            </xdr:cNvPr>
            <xdr:cNvSpPr txBox="1"/>
          </xdr:nvSpPr>
          <xdr:spPr>
            <a:xfrm>
              <a:off x="11525892" y="207740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17B50D4-AC02-43A6-B7F5-5E27BADC5129}"/>
                </a:ext>
              </a:extLst>
            </xdr:cNvPr>
            <xdr:cNvSpPr txBox="1"/>
          </xdr:nvSpPr>
          <xdr:spPr>
            <a:xfrm>
              <a:off x="11525892" y="207740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279404</xdr:colOff>
      <xdr:row>27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11533BFF-D074-4DB7-8082-1283AB355993}"/>
                </a:ext>
              </a:extLst>
            </xdr:cNvPr>
            <xdr:cNvSpPr txBox="1"/>
          </xdr:nvSpPr>
          <xdr:spPr>
            <a:xfrm>
              <a:off x="9084314" y="46802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11533BFF-D074-4DB7-8082-1283AB355993}"/>
                </a:ext>
              </a:extLst>
            </xdr:cNvPr>
            <xdr:cNvSpPr txBox="1"/>
          </xdr:nvSpPr>
          <xdr:spPr>
            <a:xfrm>
              <a:off x="9084314" y="46802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279404</xdr:colOff>
      <xdr:row>39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7DC6074-3E14-4CBC-A783-70A6540E8B52}"/>
                </a:ext>
              </a:extLst>
            </xdr:cNvPr>
            <xdr:cNvSpPr txBox="1"/>
          </xdr:nvSpPr>
          <xdr:spPr>
            <a:xfrm>
              <a:off x="9084314" y="67376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7DC6074-3E14-4CBC-A783-70A6540E8B52}"/>
                </a:ext>
              </a:extLst>
            </xdr:cNvPr>
            <xdr:cNvSpPr txBox="1"/>
          </xdr:nvSpPr>
          <xdr:spPr>
            <a:xfrm>
              <a:off x="9084314" y="6737670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10</xdr:col>
      <xdr:colOff>500062</xdr:colOff>
      <xdr:row>21</xdr:row>
      <xdr:rowOff>111125</xdr:rowOff>
    </xdr:from>
    <xdr:ext cx="1051250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75F47D7-531D-4C8B-BFAD-99E258D7B9A3}"/>
                </a:ext>
              </a:extLst>
            </xdr:cNvPr>
            <xdr:cNvSpPr txBox="1"/>
          </xdr:nvSpPr>
          <xdr:spPr>
            <a:xfrm>
              <a:off x="6788467" y="3711575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≠1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75F47D7-531D-4C8B-BFAD-99E258D7B9A3}"/>
                </a:ext>
              </a:extLst>
            </xdr:cNvPr>
            <xdr:cNvSpPr txBox="1"/>
          </xdr:nvSpPr>
          <xdr:spPr>
            <a:xfrm>
              <a:off x="6788467" y="3711575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)/(𝜕𝑥_1 ))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_(𝑇,𝑣,𝑥_(𝑖≠1)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10</xdr:col>
      <xdr:colOff>493713</xdr:colOff>
      <xdr:row>33</xdr:row>
      <xdr:rowOff>96837</xdr:rowOff>
    </xdr:from>
    <xdr:ext cx="1051250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CDE96C1-98CA-4E4E-8552-95216677E0AC}"/>
                </a:ext>
              </a:extLst>
            </xdr:cNvPr>
            <xdr:cNvSpPr txBox="1"/>
          </xdr:nvSpPr>
          <xdr:spPr>
            <a:xfrm>
              <a:off x="6780213" y="5750877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≠2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CDE96C1-98CA-4E4E-8552-95216677E0AC}"/>
                </a:ext>
              </a:extLst>
            </xdr:cNvPr>
            <xdr:cNvSpPr txBox="1"/>
          </xdr:nvSpPr>
          <xdr:spPr>
            <a:xfrm>
              <a:off x="6780213" y="5750877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)/(𝜕𝑥_2 ))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_(𝑇,𝑣,𝑥_(𝑖≠2)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10</xdr:col>
      <xdr:colOff>503237</xdr:colOff>
      <xdr:row>45</xdr:row>
      <xdr:rowOff>106363</xdr:rowOff>
    </xdr:from>
    <xdr:ext cx="1051250" cy="4283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BB8A43D-9E2A-4FFC-93D5-26A81635CB95}"/>
                </a:ext>
              </a:extLst>
            </xdr:cNvPr>
            <xdr:cNvSpPr txBox="1"/>
          </xdr:nvSpPr>
          <xdr:spPr>
            <a:xfrm>
              <a:off x="6791642" y="7819708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≠3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BB8A43D-9E2A-4FFC-93D5-26A81635CB95}"/>
                </a:ext>
              </a:extLst>
            </xdr:cNvPr>
            <xdr:cNvSpPr txBox="1"/>
          </xdr:nvSpPr>
          <xdr:spPr>
            <a:xfrm>
              <a:off x="6791642" y="7819708"/>
              <a:ext cx="1051250" cy="42832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)/(𝜕𝑥_3 ))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_(𝑇,𝑣,𝑥_(𝑖≠3) )=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25</xdr:col>
      <xdr:colOff>273048</xdr:colOff>
      <xdr:row>17</xdr:row>
      <xdr:rowOff>209549</xdr:rowOff>
    </xdr:from>
    <xdr:ext cx="1505219" cy="330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1AD2A2B-7AEE-4FE4-BCF0-B364ED55A4D6}"/>
                </a:ext>
              </a:extLst>
            </xdr:cNvPr>
            <xdr:cNvSpPr txBox="1"/>
          </xdr:nvSpPr>
          <xdr:spPr>
            <a:xfrm>
              <a:off x="15362553" y="3089909"/>
              <a:ext cx="1505219" cy="33073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100" b="0" i="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sSub>
                          <m:sSubPr>
                            <m:ctrlPr>
                              <a:rPr lang="en-GB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𝜑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</m:t>
                        </m:r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  <m:sup>
                                <m:r>
                                  <m:rPr>
                                    <m:sty m:val="p"/>
                                  </m:rPr>
                                  <a:rPr lang="en-GB" sz="1100" b="0" i="0">
                                    <a:latin typeface="Cambria Math" panose="02040503050406030204" pitchFamily="18" charset="0"/>
                                  </a:rPr>
                                  <m:t>res</m:t>
                                </m:r>
                              </m:sup>
                            </m:sSubSup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𝑣</m:t>
                                </m:r>
                              </m:e>
                            </m:d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𝑘𝑇</m:t>
                            </m:r>
                          </m:den>
                        </m:f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unc>
                          <m:func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𝑍</m:t>
                            </m:r>
                          </m:e>
                        </m:func>
                      </m:e>
                    </m:func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1AD2A2B-7AEE-4FE4-BCF0-B364ED55A4D6}"/>
                </a:ext>
              </a:extLst>
            </xdr:cNvPr>
            <xdr:cNvSpPr txBox="1"/>
          </xdr:nvSpPr>
          <xdr:spPr>
            <a:xfrm>
              <a:off x="15362553" y="3089909"/>
              <a:ext cx="1505219" cy="33073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ln⁡〖</a:t>
              </a:r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𝜑_</a:t>
              </a:r>
              <a:r>
                <a:rPr lang="en-GB" sz="1100" b="0" i="0">
                  <a:latin typeface="Cambria Math" panose="02040503050406030204" pitchFamily="18" charset="0"/>
                </a:rPr>
                <a:t>𝑘=(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GB" sz="1100" b="0" i="0">
                  <a:latin typeface="Cambria Math" panose="02040503050406030204" pitchFamily="18" charset="0"/>
                </a:rPr>
                <a:t>𝑘^res (𝑇,𝑣))/𝑘𝑇−ln⁡𝑍 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25</xdr:col>
      <xdr:colOff>314322</xdr:colOff>
      <xdr:row>19</xdr:row>
      <xdr:rowOff>155574</xdr:rowOff>
    </xdr:from>
    <xdr:ext cx="4102149" cy="5155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BCEAC4EC-714E-44B7-B507-3C819DC28D9C}"/>
                </a:ext>
              </a:extLst>
            </xdr:cNvPr>
            <xdr:cNvSpPr txBox="1"/>
          </xdr:nvSpPr>
          <xdr:spPr>
            <a:xfrm>
              <a:off x="15403827" y="3413124"/>
              <a:ext cx="4102149" cy="51552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sub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bSup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𝑘𝑇</m:t>
                        </m:r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𝜕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GB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ã</m:t>
                                    </m:r>
                                  </m:e>
                                  <m:sup>
                                    <m:r>
                                      <m:rPr>
                                        <m:sty m:val="p"/>
                                      </m:rPr>
                                      <a:rPr lang="en-GB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res</m:t>
                                    </m:r>
                                  </m:sup>
                                </m:sSup>
                                <m:r>
                                  <m:rPr>
                                    <m:nor/>
                                  </m:r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𝜕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≠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sub>
                        </m:sSub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nary>
                      <m:naryPr>
                        <m:chr m:val="∑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d>
                          <m:dPr>
                            <m:begChr m:val="["/>
                            <m:endChr m:val="]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d>
                                  <m:d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sSup>
                                          <m:sSupPr>
                                            <m:ctrlPr>
                                              <a:rPr lang="en-GB" sz="110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𝜕</m:t>
                                            </m:r>
                                            <m:r>
                                              <m:rPr>
                                                <m:nor/>
                                              </m:rPr>
                                              <a:rPr lang="en-GB" sz="110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  <m:t>ã</m:t>
                                            </m:r>
                                          </m:e>
                                          <m:sup>
                                            <m:r>
                                              <m:rPr>
                                                <m:sty m:val="p"/>
                                              </m:rPr>
                                              <a:rPr lang="en-GB" sz="1100" b="0" i="0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res</m:t>
                                            </m:r>
                                          </m:sup>
                                        </m:sSup>
                                        <m:r>
                                          <m:rPr>
                                            <m:nor/>
                                          </m:rPr>
                                          <a:rPr lang="en-GB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num>
                                      <m:den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𝜕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𝑥</m:t>
                                            </m:r>
                                          </m:e>
                                          <m:sub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sub>
                            </m:sSub>
                          </m:e>
                        </m:d>
                      </m:e>
                    </m:nary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BCEAC4EC-714E-44B7-B507-3C819DC28D9C}"/>
                </a:ext>
              </a:extLst>
            </xdr:cNvPr>
            <xdr:cNvSpPr txBox="1"/>
          </xdr:nvSpPr>
          <xdr:spPr>
            <a:xfrm>
              <a:off x="15403827" y="3413124"/>
              <a:ext cx="4102149" cy="51552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(𝜇_𝑘^res (𝑇,𝑣))/𝑘𝑇=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res+(𝑍−1)+((〖𝜕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)/(𝜕𝑥_𝑘 ))_(𝑇,𝑣,𝑥_(𝑖≠𝑘) )−∑_(𝑗=1)^𝑁▒[𝑥_𝑗 ((〖𝜕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)/(𝜕𝑥_𝑗 ))_(𝑇,𝑣,𝑥_(𝑖≠𝑗) ) ]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55562</xdr:colOff>
      <xdr:row>21</xdr:row>
      <xdr:rowOff>111125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44961C8-F7D0-43FB-9BEB-D8B32D8B8EBE}"/>
                </a:ext>
              </a:extLst>
            </xdr:cNvPr>
            <xdr:cNvSpPr txBox="1"/>
          </xdr:nvSpPr>
          <xdr:spPr>
            <a:xfrm>
              <a:off x="8231822" y="3711575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44961C8-F7D0-43FB-9BEB-D8B32D8B8EBE}"/>
                </a:ext>
              </a:extLst>
            </xdr:cNvPr>
            <xdr:cNvSpPr txBox="1"/>
          </xdr:nvSpPr>
          <xdr:spPr>
            <a:xfrm>
              <a:off x="8231822" y="3711575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47625</xdr:colOff>
      <xdr:row>33</xdr:row>
      <xdr:rowOff>119062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F6BC9775-501D-48E6-A6C5-5183D24759C2}"/>
                </a:ext>
              </a:extLst>
            </xdr:cNvPr>
            <xdr:cNvSpPr txBox="1"/>
          </xdr:nvSpPr>
          <xdr:spPr>
            <a:xfrm>
              <a:off x="8221980" y="5778817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F6BC9775-501D-48E6-A6C5-5183D24759C2}"/>
                </a:ext>
              </a:extLst>
            </xdr:cNvPr>
            <xdr:cNvSpPr txBox="1"/>
          </xdr:nvSpPr>
          <xdr:spPr>
            <a:xfrm>
              <a:off x="8221980" y="5778817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23813</xdr:colOff>
      <xdr:row>45</xdr:row>
      <xdr:rowOff>127000</xdr:rowOff>
    </xdr:from>
    <xdr:ext cx="3428952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DD3D0BB8-133B-4BE2-8879-B8F870B2C46B}"/>
                </a:ext>
              </a:extLst>
            </xdr:cNvPr>
            <xdr:cNvSpPr txBox="1"/>
          </xdr:nvSpPr>
          <xdr:spPr>
            <a:xfrm>
              <a:off x="8192453" y="7846060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+8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DD3D0BB8-133B-4BE2-8879-B8F870B2C46B}"/>
                </a:ext>
              </a:extLst>
            </xdr:cNvPr>
            <xdr:cNvSpPr txBox="1"/>
          </xdr:nvSpPr>
          <xdr:spPr>
            <a:xfrm>
              <a:off x="8192453" y="7846060"/>
              <a:ext cx="3428952" cy="32848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𝑓′(𝑥)=(𝑓(𝑥−2ℎ)−8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𝑓(𝑥−ℎ)+8𝑓(𝑥+ℎ)−𝑓(𝑥+2ℎ))/</a:t>
              </a:r>
              <a:r>
                <a:rPr lang="en-GB" sz="1100" b="0" i="0">
                  <a:latin typeface="Cambria Math" panose="02040503050406030204" pitchFamily="18" charset="0"/>
                </a:rPr>
                <a:t>12ℎ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285750</xdr:colOff>
      <xdr:row>5</xdr:row>
      <xdr:rowOff>23812</xdr:rowOff>
    </xdr:from>
    <xdr:ext cx="198901" cy="1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B1B5681-A635-416B-94AE-914B8238DC58}"/>
                </a:ext>
              </a:extLst>
            </xdr:cNvPr>
            <xdr:cNvSpPr txBox="1"/>
          </xdr:nvSpPr>
          <xdr:spPr>
            <a:xfrm>
              <a:off x="4034790" y="953452"/>
              <a:ext cx="198901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B1B5681-A635-416B-94AE-914B8238DC58}"/>
                </a:ext>
              </a:extLst>
            </xdr:cNvPr>
            <xdr:cNvSpPr txBox="1"/>
          </xdr:nvSpPr>
          <xdr:spPr>
            <a:xfrm>
              <a:off x="4034790" y="953452"/>
              <a:ext cx="198901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n-GB" sz="1100" b="0" i="0">
                  <a:latin typeface="Cambria Math" panose="02040503050406030204" pitchFamily="18" charset="0"/>
                </a:rPr>
                <a:t>𝑖^𝐿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5</xdr:row>
      <xdr:rowOff>14287</xdr:rowOff>
    </xdr:from>
    <xdr:ext cx="210058" cy="181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EE86185-FE96-44CB-8949-720E3644D6F5}"/>
                </a:ext>
              </a:extLst>
            </xdr:cNvPr>
            <xdr:cNvSpPr txBox="1"/>
          </xdr:nvSpPr>
          <xdr:spPr>
            <a:xfrm>
              <a:off x="4810125" y="943927"/>
              <a:ext cx="210058" cy="181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EE86185-FE96-44CB-8949-720E3644D6F5}"/>
                </a:ext>
              </a:extLst>
            </xdr:cNvPr>
            <xdr:cNvSpPr txBox="1"/>
          </xdr:nvSpPr>
          <xdr:spPr>
            <a:xfrm>
              <a:off x="4810125" y="943927"/>
              <a:ext cx="210058" cy="181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n-GB" sz="1100" b="0" i="0">
                  <a:latin typeface="Cambria Math" panose="02040503050406030204" pitchFamily="18" charset="0"/>
                </a:rPr>
                <a:t>𝑖^𝑉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DB931D-12CA-4E6C-9A5E-C5DF3C3EF60B}"/>
                </a:ext>
              </a:extLst>
            </xdr:cNvPr>
            <xdr:cNvSpPr txBox="1"/>
          </xdr:nvSpPr>
          <xdr:spPr>
            <a:xfrm>
              <a:off x="13804904" y="294481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DB931D-12CA-4E6C-9A5E-C5DF3C3EF60B}"/>
                </a:ext>
              </a:extLst>
            </xdr:cNvPr>
            <xdr:cNvSpPr txBox="1"/>
          </xdr:nvSpPr>
          <xdr:spPr>
            <a:xfrm>
              <a:off x="13804904" y="294481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21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BC00F78-E669-4A1C-AB36-F9924FC3D340}"/>
                </a:ext>
              </a:extLst>
            </xdr:cNvPr>
            <xdr:cNvSpPr txBox="1"/>
          </xdr:nvSpPr>
          <xdr:spPr>
            <a:xfrm>
              <a:off x="11417936" y="43475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BC00F78-E669-4A1C-AB36-F9924FC3D340}"/>
                </a:ext>
              </a:extLst>
            </xdr:cNvPr>
            <xdr:cNvSpPr txBox="1"/>
          </xdr:nvSpPr>
          <xdr:spPr>
            <a:xfrm>
              <a:off x="11417936" y="43475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𝜕𝑥_1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349250</xdr:colOff>
      <xdr:row>14</xdr:row>
      <xdr:rowOff>39689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6C01010-E6D1-47FB-8FE8-1472EE290D79}"/>
                </a:ext>
              </a:extLst>
            </xdr:cNvPr>
            <xdr:cNvSpPr txBox="1"/>
          </xdr:nvSpPr>
          <xdr:spPr>
            <a:xfrm>
              <a:off x="16496030" y="273716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6C01010-E6D1-47FB-8FE8-1472EE290D79}"/>
                </a:ext>
              </a:extLst>
            </xdr:cNvPr>
            <xdr:cNvSpPr txBox="1"/>
          </xdr:nvSpPr>
          <xdr:spPr>
            <a:xfrm>
              <a:off x="16496030" y="273716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206382</xdr:colOff>
      <xdr:row>12</xdr:row>
      <xdr:rowOff>23814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43840A5-F7AF-431C-AF60-CF970873E86F}"/>
                </a:ext>
              </a:extLst>
            </xdr:cNvPr>
            <xdr:cNvSpPr txBox="1"/>
          </xdr:nvSpPr>
          <xdr:spPr>
            <a:xfrm>
              <a:off x="16353162" y="234029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43840A5-F7AF-431C-AF60-CF970873E86F}"/>
                </a:ext>
              </a:extLst>
            </xdr:cNvPr>
            <xdr:cNvSpPr txBox="1"/>
          </xdr:nvSpPr>
          <xdr:spPr>
            <a:xfrm>
              <a:off x="16353162" y="234029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279404</xdr:colOff>
      <xdr:row>27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E327C804-254F-495D-B0BE-350F8D50457F}"/>
                </a:ext>
              </a:extLst>
            </xdr:cNvPr>
            <xdr:cNvSpPr txBox="1"/>
          </xdr:nvSpPr>
          <xdr:spPr>
            <a:xfrm>
              <a:off x="13804904" y="53908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E327C804-254F-495D-B0BE-350F8D50457F}"/>
                </a:ext>
              </a:extLst>
            </xdr:cNvPr>
            <xdr:cNvSpPr txBox="1"/>
          </xdr:nvSpPr>
          <xdr:spPr>
            <a:xfrm>
              <a:off x="13804904" y="53908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33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D2B40FD-A96B-4ADC-933E-6706B091F661}"/>
                </a:ext>
              </a:extLst>
            </xdr:cNvPr>
            <xdr:cNvSpPr txBox="1"/>
          </xdr:nvSpPr>
          <xdr:spPr>
            <a:xfrm>
              <a:off x="11417936" y="65573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D2B40FD-A96B-4ADC-933E-6706B091F661}"/>
                </a:ext>
              </a:extLst>
            </xdr:cNvPr>
            <xdr:cNvSpPr txBox="1"/>
          </xdr:nvSpPr>
          <xdr:spPr>
            <a:xfrm>
              <a:off x="11417936" y="65573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𝜕𝑥_2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14</xdr:col>
      <xdr:colOff>279404</xdr:colOff>
      <xdr:row>39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D49EDE6-5040-4A73-A2E7-5722EBA195FD}"/>
                </a:ext>
              </a:extLst>
            </xdr:cNvPr>
            <xdr:cNvSpPr txBox="1"/>
          </xdr:nvSpPr>
          <xdr:spPr>
            <a:xfrm>
              <a:off x="13804904" y="76006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D49EDE6-5040-4A73-A2E7-5722EBA195FD}"/>
                </a:ext>
              </a:extLst>
            </xdr:cNvPr>
            <xdr:cNvSpPr txBox="1"/>
          </xdr:nvSpPr>
          <xdr:spPr>
            <a:xfrm>
              <a:off x="13804904" y="76006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45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56BE025B-6058-4DB8-B65D-47A20494EC73}"/>
                </a:ext>
              </a:extLst>
            </xdr:cNvPr>
            <xdr:cNvSpPr txBox="1"/>
          </xdr:nvSpPr>
          <xdr:spPr>
            <a:xfrm>
              <a:off x="11417936" y="87671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3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56BE025B-6058-4DB8-B65D-47A20494EC73}"/>
                </a:ext>
              </a:extLst>
            </xdr:cNvPr>
            <xdr:cNvSpPr txBox="1"/>
          </xdr:nvSpPr>
          <xdr:spPr>
            <a:xfrm>
              <a:off x="11417936" y="87671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𝜕𝑥_3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279404</xdr:colOff>
      <xdr:row>15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ED1C72D-021F-4952-A8B4-08F71CF68A4B}"/>
                </a:ext>
              </a:extLst>
            </xdr:cNvPr>
            <xdr:cNvSpPr txBox="1"/>
          </xdr:nvSpPr>
          <xdr:spPr>
            <a:xfrm>
              <a:off x="13804904" y="294481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ED1C72D-021F-4952-A8B4-08F71CF68A4B}"/>
                </a:ext>
              </a:extLst>
            </xdr:cNvPr>
            <xdr:cNvSpPr txBox="1"/>
          </xdr:nvSpPr>
          <xdr:spPr>
            <a:xfrm>
              <a:off x="13804904" y="294481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21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2765C35-6EEB-423B-8BC8-52184CBD030C}"/>
                </a:ext>
              </a:extLst>
            </xdr:cNvPr>
            <xdr:cNvSpPr txBox="1"/>
          </xdr:nvSpPr>
          <xdr:spPr>
            <a:xfrm>
              <a:off x="11417936" y="43475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2765C35-6EEB-423B-8BC8-52184CBD030C}"/>
                </a:ext>
              </a:extLst>
            </xdr:cNvPr>
            <xdr:cNvSpPr txBox="1"/>
          </xdr:nvSpPr>
          <xdr:spPr>
            <a:xfrm>
              <a:off x="11417936" y="43475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𝜕𝑥_1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18</xdr:col>
      <xdr:colOff>349250</xdr:colOff>
      <xdr:row>14</xdr:row>
      <xdr:rowOff>39689</xdr:rowOff>
    </xdr:from>
    <xdr:ext cx="263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5932DF-C8DB-41C6-98B7-22C5C40DB356}"/>
                </a:ext>
              </a:extLst>
            </xdr:cNvPr>
            <xdr:cNvSpPr txBox="1"/>
          </xdr:nvSpPr>
          <xdr:spPr>
            <a:xfrm>
              <a:off x="16496030" y="273716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5932DF-C8DB-41C6-98B7-22C5C40DB356}"/>
                </a:ext>
              </a:extLst>
            </xdr:cNvPr>
            <xdr:cNvSpPr txBox="1"/>
          </xdr:nvSpPr>
          <xdr:spPr>
            <a:xfrm>
              <a:off x="16496030" y="2737169"/>
              <a:ext cx="263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206382</xdr:colOff>
      <xdr:row>12</xdr:row>
      <xdr:rowOff>23814</xdr:rowOff>
    </xdr:from>
    <xdr:ext cx="4106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CF9620D-6184-407B-9D9B-BCA36DEEB745}"/>
                </a:ext>
              </a:extLst>
            </xdr:cNvPr>
            <xdr:cNvSpPr txBox="1"/>
          </xdr:nvSpPr>
          <xdr:spPr>
            <a:xfrm>
              <a:off x="16353162" y="234029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CF9620D-6184-407B-9D9B-BCA36DEEB745}"/>
                </a:ext>
              </a:extLst>
            </xdr:cNvPr>
            <xdr:cNvSpPr txBox="1"/>
          </xdr:nvSpPr>
          <xdr:spPr>
            <a:xfrm>
              <a:off x="16353162" y="2340294"/>
              <a:ext cx="4106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279404</xdr:colOff>
      <xdr:row>27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6B83EE0-AD44-4605-ABDC-B04431B1810A}"/>
                </a:ext>
              </a:extLst>
            </xdr:cNvPr>
            <xdr:cNvSpPr txBox="1"/>
          </xdr:nvSpPr>
          <xdr:spPr>
            <a:xfrm>
              <a:off x="13804904" y="53908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6B83EE0-AD44-4605-ABDC-B04431B1810A}"/>
                </a:ext>
              </a:extLst>
            </xdr:cNvPr>
            <xdr:cNvSpPr txBox="1"/>
          </xdr:nvSpPr>
          <xdr:spPr>
            <a:xfrm>
              <a:off x="13804904" y="53908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33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E218D7-2464-4A21-AFF3-20E2C27E103E}"/>
                </a:ext>
              </a:extLst>
            </xdr:cNvPr>
            <xdr:cNvSpPr txBox="1"/>
          </xdr:nvSpPr>
          <xdr:spPr>
            <a:xfrm>
              <a:off x="11417936" y="65573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E218D7-2464-4A21-AFF3-20E2C27E103E}"/>
                </a:ext>
              </a:extLst>
            </xdr:cNvPr>
            <xdr:cNvSpPr txBox="1"/>
          </xdr:nvSpPr>
          <xdr:spPr>
            <a:xfrm>
              <a:off x="11417936" y="65573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𝜕𝑥_2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  <xdr:oneCellAnchor>
    <xdr:from>
      <xdr:col>14</xdr:col>
      <xdr:colOff>279404</xdr:colOff>
      <xdr:row>39</xdr:row>
      <xdr:rowOff>49215</xdr:rowOff>
    </xdr:from>
    <xdr:ext cx="2660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7B8AFFB6-7777-4136-89E2-531AB1B6EBCA}"/>
                </a:ext>
              </a:extLst>
            </xdr:cNvPr>
            <xdr:cNvSpPr txBox="1"/>
          </xdr:nvSpPr>
          <xdr:spPr>
            <a:xfrm>
              <a:off x="13804904" y="76006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ã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res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7B8AFFB6-7777-4136-89E2-531AB1B6EBCA}"/>
                </a:ext>
              </a:extLst>
            </xdr:cNvPr>
            <xdr:cNvSpPr txBox="1"/>
          </xdr:nvSpPr>
          <xdr:spPr>
            <a:xfrm>
              <a:off x="13804904" y="7600635"/>
              <a:ext cx="2660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11</xdr:col>
      <xdr:colOff>269876</xdr:colOff>
      <xdr:row>45</xdr:row>
      <xdr:rowOff>103188</xdr:rowOff>
    </xdr:from>
    <xdr:ext cx="526747" cy="369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2C5604A7-B145-4B18-BD4F-65D06E6503F5}"/>
                </a:ext>
              </a:extLst>
            </xdr:cNvPr>
            <xdr:cNvSpPr txBox="1"/>
          </xdr:nvSpPr>
          <xdr:spPr>
            <a:xfrm>
              <a:off x="11417936" y="87671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m:rPr>
                                <m:nor/>
                              </m:r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ã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res</m:t>
                            </m:r>
                          </m:sup>
                        </m:sSup>
                        <m:r>
                          <m:rPr>
                            <m:nor/>
                          </m:rPr>
                          <a:rPr lang="en-GB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3</m:t>
                            </m:r>
                          </m:sub>
                        </m:sSub>
                      </m:den>
                    </m:f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</m:oMath>
                </m:oMathPara>
              </a14:m>
              <a:endParaRPr lang="en-GB" sz="1100" baseline="300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2C5604A7-B145-4B18-BD4F-65D06E6503F5}"/>
                </a:ext>
              </a:extLst>
            </xdr:cNvPr>
            <xdr:cNvSpPr txBox="1"/>
          </xdr:nvSpPr>
          <xdr:spPr>
            <a:xfrm>
              <a:off x="11417936" y="8767128"/>
              <a:ext cx="526747" cy="369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(〖𝜕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ã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res "</a:t>
              </a:r>
              <a:r>
                <a:rPr lang="en-GB" i="0">
                  <a:effectLst/>
                </a:rPr>
                <a:t> </a:t>
              </a:r>
              <a:r>
                <a:rPr lang="en-GB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𝜕𝑥_3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lang="en-GB" sz="1100" baseline="300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zoomScale="120" zoomScaleNormal="120" workbookViewId="0">
      <selection activeCell="A5" sqref="A5"/>
    </sheetView>
  </sheetViews>
  <sheetFormatPr defaultColWidth="9.109375" defaultRowHeight="14.4"/>
  <cols>
    <col min="1" max="16384" width="9.109375" style="54"/>
  </cols>
  <sheetData>
    <row r="1" spans="1:1">
      <c r="A1" s="53" t="s">
        <v>58</v>
      </c>
    </row>
    <row r="2" spans="1:1">
      <c r="A2" s="54" t="s">
        <v>109</v>
      </c>
    </row>
    <row r="3" spans="1:1">
      <c r="A3" s="54" t="s">
        <v>108</v>
      </c>
    </row>
    <row r="4" spans="1:1">
      <c r="A4" s="54" t="s">
        <v>107</v>
      </c>
    </row>
    <row r="6" spans="1:1" ht="16.8">
      <c r="A6" s="80" t="s">
        <v>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17"/>
  <sheetViews>
    <sheetView zoomScale="120" zoomScaleNormal="120" workbookViewId="0">
      <selection activeCell="A2" sqref="A2"/>
    </sheetView>
  </sheetViews>
  <sheetFormatPr defaultColWidth="9.109375" defaultRowHeight="14.4"/>
  <cols>
    <col min="1" max="16384" width="9.109375" style="54"/>
  </cols>
  <sheetData>
    <row r="1" spans="1:3">
      <c r="A1" s="54" t="s">
        <v>95</v>
      </c>
    </row>
    <row r="3" spans="1:3">
      <c r="B3" s="54" t="s">
        <v>104</v>
      </c>
    </row>
    <row r="5" spans="1:3">
      <c r="C5" s="81" t="s">
        <v>96</v>
      </c>
    </row>
    <row r="7" spans="1:3">
      <c r="C7" s="81" t="s">
        <v>97</v>
      </c>
    </row>
    <row r="8" spans="1:3" ht="16.2">
      <c r="C8" s="83" t="s">
        <v>98</v>
      </c>
    </row>
    <row r="9" spans="1:3">
      <c r="C9" s="82" t="s">
        <v>99</v>
      </c>
    </row>
    <row r="10" spans="1:3">
      <c r="C10" s="82" t="s">
        <v>100</v>
      </c>
    </row>
    <row r="11" spans="1:3">
      <c r="C11" s="82" t="s">
        <v>101</v>
      </c>
    </row>
    <row r="12" spans="1:3">
      <c r="C12" s="82" t="s">
        <v>102</v>
      </c>
    </row>
    <row r="13" spans="1:3">
      <c r="C13" s="82" t="s">
        <v>106</v>
      </c>
    </row>
    <row r="14" spans="1:3">
      <c r="B14" s="83"/>
    </row>
    <row r="15" spans="1:3">
      <c r="B15" s="54" t="s">
        <v>105</v>
      </c>
    </row>
    <row r="17" spans="3:3">
      <c r="C17" s="81" t="s">
        <v>103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389"/>
  <sheetViews>
    <sheetView zoomScale="120" zoomScaleNormal="120" workbookViewId="0">
      <selection activeCell="I24" sqref="I24"/>
    </sheetView>
  </sheetViews>
  <sheetFormatPr defaultColWidth="9.109375" defaultRowHeight="14.4"/>
  <cols>
    <col min="1" max="1" width="46.5546875" style="1" bestFit="1" customWidth="1"/>
    <col min="2" max="4" width="11.88671875" style="1" customWidth="1"/>
    <col min="5" max="5" width="11.5546875" style="1" bestFit="1" customWidth="1"/>
    <col min="6" max="7" width="13.44140625" style="1" bestFit="1" customWidth="1"/>
    <col min="8" max="8" width="12.33203125" style="1" bestFit="1" customWidth="1"/>
    <col min="9" max="9" width="9.109375" style="1"/>
    <col min="10" max="10" width="10.5546875" style="1" customWidth="1"/>
    <col min="11" max="11" width="46.109375" style="1" customWidth="1"/>
    <col min="12" max="12" width="14.5546875" style="1" customWidth="1"/>
    <col min="13" max="14" width="11.44140625" style="1" customWidth="1"/>
    <col min="15" max="17" width="10.44140625" style="1" customWidth="1"/>
    <col min="18" max="18" width="22.33203125" style="1" bestFit="1" customWidth="1"/>
    <col min="19" max="19" width="11" style="1" customWidth="1"/>
    <col min="20" max="20" width="10.88671875" style="1" customWidth="1"/>
    <col min="21" max="21" width="11.88671875" style="1" bestFit="1" customWidth="1"/>
    <col min="22" max="22" width="13.5546875" style="1" bestFit="1" customWidth="1"/>
    <col min="23" max="16384" width="9.109375" style="1"/>
  </cols>
  <sheetData>
    <row r="1" spans="1:22">
      <c r="A1" s="17" t="s">
        <v>6</v>
      </c>
      <c r="B1" s="56"/>
    </row>
    <row r="2" spans="1:22">
      <c r="B2" s="49"/>
      <c r="G2" s="22" t="s">
        <v>22</v>
      </c>
      <c r="H2" s="17"/>
      <c r="L2" s="26" t="s">
        <v>32</v>
      </c>
      <c r="S2" s="55" t="s">
        <v>59</v>
      </c>
    </row>
    <row r="3" spans="1:22" ht="16.2">
      <c r="A3" s="19" t="s">
        <v>13</v>
      </c>
      <c r="B3" s="21">
        <v>1.3806490000000001E-23</v>
      </c>
      <c r="C3" s="17" t="s">
        <v>14</v>
      </c>
      <c r="G3" s="22"/>
      <c r="H3" s="17"/>
    </row>
    <row r="4" spans="1:22" ht="16.8">
      <c r="A4" s="19" t="s">
        <v>19</v>
      </c>
      <c r="B4" s="21">
        <v>6.0221407599999999E+23</v>
      </c>
      <c r="C4" s="17" t="s">
        <v>18</v>
      </c>
      <c r="H4" s="2">
        <f>H13*H11-SUMPRODUCT(B15:D15,B21:D21,B22:D22)</f>
        <v>4.5666590530783706</v>
      </c>
      <c r="I4" s="55" t="s">
        <v>61</v>
      </c>
      <c r="K4" s="39"/>
      <c r="M4" s="12">
        <f>-2*PI()*B8*M16*M22-PI()*B8*H13*M20*M18*M24</f>
        <v>-8.1403709783165858</v>
      </c>
      <c r="N4" s="55" t="s">
        <v>63</v>
      </c>
      <c r="O4" s="15"/>
      <c r="P4" s="45"/>
      <c r="Q4" s="45"/>
      <c r="T4" s="48">
        <f>H4+M4</f>
        <v>-3.5737119252382152</v>
      </c>
      <c r="U4" s="55" t="s">
        <v>64</v>
      </c>
    </row>
    <row r="5" spans="1:22" ht="16.2">
      <c r="A5" s="19" t="s">
        <v>12</v>
      </c>
      <c r="B5" s="4">
        <v>8.3144626181532395</v>
      </c>
      <c r="C5" s="1" t="s">
        <v>0</v>
      </c>
      <c r="K5" s="39"/>
    </row>
    <row r="6" spans="1:22" ht="16.8">
      <c r="A6" s="3" t="s">
        <v>1</v>
      </c>
      <c r="B6" s="10">
        <v>233.15</v>
      </c>
      <c r="C6" s="1" t="s">
        <v>2</v>
      </c>
      <c r="G6" s="23" t="s">
        <v>23</v>
      </c>
      <c r="H6" s="32">
        <f>(PI()*B8/6)*SUMPRODUCT(B15:D15,B16:D16)</f>
        <v>8.8800428185482495E-3</v>
      </c>
      <c r="I6" s="17" t="s">
        <v>11</v>
      </c>
      <c r="J6" s="50" t="s">
        <v>52</v>
      </c>
      <c r="K6" s="39"/>
      <c r="S6" s="14"/>
      <c r="T6" s="66">
        <f>T4*B3*B4*B6</f>
        <v>-6927.7011751644568</v>
      </c>
      <c r="U6" s="55" t="s">
        <v>66</v>
      </c>
      <c r="V6" s="55" t="s">
        <v>65</v>
      </c>
    </row>
    <row r="7" spans="1:22" ht="16.8">
      <c r="A7" s="70" t="s">
        <v>85</v>
      </c>
      <c r="B7" s="4">
        <v>0.40200000000000002</v>
      </c>
      <c r="E7" s="14"/>
      <c r="G7" s="23" t="s">
        <v>24</v>
      </c>
      <c r="H7" s="32">
        <f>(PI()*B8/6)*SUMPRODUCT(B15:D15,B16:D16,B19:D19)</f>
        <v>3.1642393393872627E-2</v>
      </c>
      <c r="I7" s="17" t="s">
        <v>27</v>
      </c>
      <c r="J7" s="50" t="s">
        <v>52</v>
      </c>
      <c r="K7" s="39"/>
      <c r="L7" s="30" t="s">
        <v>5</v>
      </c>
      <c r="M7" s="29"/>
      <c r="N7" s="29"/>
      <c r="O7" s="29"/>
      <c r="P7" s="29"/>
      <c r="Q7" s="13"/>
    </row>
    <row r="8" spans="1:22" ht="16.8">
      <c r="A8" s="19" t="s">
        <v>16</v>
      </c>
      <c r="B8" s="13">
        <f>6*B7/(SUMPRODUCT(B15:D15,B16:D16,B19:D19^3)*PI())</f>
        <v>9.5104120594613761E-3</v>
      </c>
      <c r="C8" s="84" t="s">
        <v>11</v>
      </c>
      <c r="G8" s="23" t="s">
        <v>25</v>
      </c>
      <c r="H8" s="32">
        <f>(PI()*B8/6)*SUMPRODUCT(B15:D15,B16:D16,B19:D19^2)</f>
        <v>0.11277339291370925</v>
      </c>
      <c r="I8" s="17" t="s">
        <v>28</v>
      </c>
      <c r="J8" s="50" t="s">
        <v>52</v>
      </c>
      <c r="K8" s="39"/>
      <c r="L8" s="9">
        <v>0</v>
      </c>
      <c r="M8" s="13">
        <f t="shared" ref="M8:M14" si="0">C29+(H$13-1)*D29/H$13+(H$13-1)*(H$13-2)*E29/H$13^2</f>
        <v>0.77994034023330427</v>
      </c>
      <c r="N8" s="13">
        <f t="shared" ref="N8:N14" si="1">F29+(H$13-1)*G29/H$13+(H$13-1)*(H$13-2)*H29/H$13^2</f>
        <v>0.46607974337765568</v>
      </c>
      <c r="O8" s="13">
        <f t="shared" ref="O8:O14" si="2">M8*H$9^L8</f>
        <v>0.77994034023330427</v>
      </c>
      <c r="P8" s="13">
        <f t="shared" ref="P8:P14" si="3">N8*H$9^L8</f>
        <v>0.46607974337765568</v>
      </c>
      <c r="Q8" s="13"/>
      <c r="T8" s="48">
        <f>PCSAFTA(B6,B8,B15:D15,B16:D16,B17:D17,B18:D18,M28:O30)</f>
        <v>-3.5737119252382161</v>
      </c>
      <c r="U8" s="50" t="s">
        <v>49</v>
      </c>
    </row>
    <row r="9" spans="1:22" ht="16.8">
      <c r="A9" s="19" t="s">
        <v>17</v>
      </c>
      <c r="B9" s="51">
        <f>B4*10^-30/B8</f>
        <v>6.3321554548300657E-5</v>
      </c>
      <c r="C9" s="20" t="s">
        <v>15</v>
      </c>
      <c r="E9" s="14"/>
      <c r="G9" s="23" t="s">
        <v>26</v>
      </c>
      <c r="H9" s="32">
        <f>(PI()*B8/6)*SUMPRODUCT(B15:D15,B16:D16,B19:D19^3)</f>
        <v>0.40199999999999997</v>
      </c>
      <c r="I9" s="17"/>
      <c r="J9" s="50" t="s">
        <v>52</v>
      </c>
      <c r="K9" s="39"/>
      <c r="L9" s="9">
        <v>1</v>
      </c>
      <c r="M9" s="13">
        <f t="shared" si="0"/>
        <v>0.69367809287916926</v>
      </c>
      <c r="N9" s="13">
        <f t="shared" si="1"/>
        <v>2.559179353588878</v>
      </c>
      <c r="O9" s="13">
        <f t="shared" si="2"/>
        <v>0.27885859333742602</v>
      </c>
      <c r="P9" s="13">
        <f t="shared" si="3"/>
        <v>1.0287901001427289</v>
      </c>
      <c r="Q9" s="13"/>
      <c r="T9" s="14"/>
    </row>
    <row r="10" spans="1:22">
      <c r="A10" s="3"/>
      <c r="B10" s="5"/>
      <c r="H10" s="2"/>
      <c r="L10" s="9">
        <v>2</v>
      </c>
      <c r="M10" s="13">
        <f t="shared" si="0"/>
        <v>1.5549037655148521</v>
      </c>
      <c r="N10" s="13">
        <f t="shared" si="1"/>
        <v>-1.8040835966724831</v>
      </c>
      <c r="O10" s="13">
        <f t="shared" si="2"/>
        <v>0.25127866812226213</v>
      </c>
      <c r="P10" s="13">
        <f t="shared" si="3"/>
        <v>-0.2915471255566599</v>
      </c>
      <c r="Q10" s="13"/>
    </row>
    <row r="11" spans="1:22">
      <c r="A11" s="26" t="s">
        <v>30</v>
      </c>
      <c r="B11" s="5"/>
      <c r="H11" s="28">
        <f>(1/H6)*(3*H7*H8/(1-H9)+H8^3/(H9*(1-H9)^2)+(((H8^3/H9^2)-H6)*LN(1-H9)))</f>
        <v>3.1397570551012595</v>
      </c>
      <c r="I11" s="55" t="s">
        <v>62</v>
      </c>
      <c r="K11" s="44"/>
      <c r="L11" s="9">
        <v>3</v>
      </c>
      <c r="M11" s="13">
        <f t="shared" si="0"/>
        <v>-17.047054025683384</v>
      </c>
      <c r="N11" s="13">
        <f t="shared" si="1"/>
        <v>-29.6670891561449</v>
      </c>
      <c r="O11" s="13">
        <f t="shared" si="2"/>
        <v>-1.1074585917441477</v>
      </c>
      <c r="P11" s="13">
        <f t="shared" si="3"/>
        <v>-1.9273167509478351</v>
      </c>
      <c r="Q11" s="13"/>
    </row>
    <row r="12" spans="1:22">
      <c r="A12" s="3"/>
      <c r="B12" s="4"/>
      <c r="H12" s="2"/>
      <c r="L12" s="9">
        <v>4</v>
      </c>
      <c r="M12" s="13">
        <f t="shared" si="0"/>
        <v>69.317187950380358</v>
      </c>
      <c r="N12" s="13">
        <f t="shared" si="1"/>
        <v>113.55501173617643</v>
      </c>
      <c r="O12" s="13">
        <f t="shared" si="2"/>
        <v>1.8102774781311415</v>
      </c>
      <c r="P12" s="13">
        <f t="shared" si="3"/>
        <v>2.9655859730211351</v>
      </c>
      <c r="Q12" s="13"/>
      <c r="R12" s="74" t="s">
        <v>90</v>
      </c>
    </row>
    <row r="13" spans="1:22">
      <c r="A13" s="7" t="s">
        <v>4</v>
      </c>
      <c r="B13" s="71" t="s">
        <v>86</v>
      </c>
      <c r="C13" s="72" t="s">
        <v>87</v>
      </c>
      <c r="D13" s="72" t="s">
        <v>88</v>
      </c>
      <c r="H13" s="28">
        <f>SUMPRODUCT(B15:D15,B16:D16)</f>
        <v>1.7832699999999999</v>
      </c>
      <c r="I13" s="50" t="s">
        <v>53</v>
      </c>
      <c r="L13" s="9">
        <v>5</v>
      </c>
      <c r="M13" s="13">
        <f t="shared" si="0"/>
        <v>-123.73070176157893</v>
      </c>
      <c r="N13" s="13">
        <f t="shared" si="1"/>
        <v>130.47390838247847</v>
      </c>
      <c r="O13" s="13">
        <f t="shared" si="2"/>
        <v>-1.298995784002366</v>
      </c>
      <c r="P13" s="13">
        <f t="shared" si="3"/>
        <v>1.3697898298333202</v>
      </c>
      <c r="Q13" s="13"/>
      <c r="R13" s="3"/>
    </row>
    <row r="14" spans="1:22">
      <c r="A14" s="18" t="s">
        <v>8</v>
      </c>
      <c r="B14" s="2">
        <v>1</v>
      </c>
      <c r="C14" s="2">
        <v>2</v>
      </c>
      <c r="D14" s="2">
        <v>3</v>
      </c>
      <c r="H14" s="2"/>
      <c r="L14" s="9">
        <v>6</v>
      </c>
      <c r="M14" s="13">
        <f t="shared" si="0"/>
        <v>76.93800690676143</v>
      </c>
      <c r="N14" s="13">
        <f t="shared" si="1"/>
        <v>-426.58324720578457</v>
      </c>
      <c r="O14" s="13">
        <f t="shared" si="2"/>
        <v>0.32471118616293021</v>
      </c>
      <c r="P14" s="13">
        <f t="shared" si="3"/>
        <v>-1.8003631464652845</v>
      </c>
      <c r="R14" s="74" t="s">
        <v>91</v>
      </c>
    </row>
    <row r="15" spans="1:22" ht="15.6">
      <c r="A15" s="18" t="s">
        <v>9</v>
      </c>
      <c r="B15" s="12">
        <v>0.1</v>
      </c>
      <c r="C15" s="12">
        <v>0.3</v>
      </c>
      <c r="D15" s="12">
        <v>0.6</v>
      </c>
      <c r="J15" s="39"/>
    </row>
    <row r="16" spans="1:22" ht="15.6">
      <c r="A16" s="18" t="s">
        <v>7</v>
      </c>
      <c r="B16" s="12">
        <v>1</v>
      </c>
      <c r="C16" s="12">
        <v>1.6069</v>
      </c>
      <c r="D16" s="12">
        <v>2.0019999999999998</v>
      </c>
      <c r="E16" s="86" t="s">
        <v>111</v>
      </c>
      <c r="M16" s="47">
        <f>SUM(O8:O14)</f>
        <v>1.0386118902405503</v>
      </c>
      <c r="N16" s="50" t="s">
        <v>54</v>
      </c>
      <c r="P16" s="47"/>
      <c r="Q16" s="47"/>
      <c r="R16" s="15"/>
      <c r="S16" s="15"/>
    </row>
    <row r="17" spans="1:23" ht="15.6">
      <c r="A17" s="18" t="s">
        <v>10</v>
      </c>
      <c r="B17" s="12">
        <v>3.7039</v>
      </c>
      <c r="C17" s="12">
        <v>3.5206</v>
      </c>
      <c r="D17" s="12">
        <v>3.6183999999999998</v>
      </c>
      <c r="E17" s="86" t="s">
        <v>111</v>
      </c>
      <c r="M17" s="15"/>
    </row>
    <row r="18" spans="1:23" ht="15.6">
      <c r="A18" s="18" t="s">
        <v>21</v>
      </c>
      <c r="B18" s="2">
        <v>150.03</v>
      </c>
      <c r="C18" s="2">
        <v>191.42</v>
      </c>
      <c r="D18" s="2">
        <v>208.11</v>
      </c>
      <c r="E18" s="86" t="s">
        <v>111</v>
      </c>
      <c r="M18" s="47">
        <f>SUM(P8:P14)</f>
        <v>1.8110186234050605</v>
      </c>
      <c r="N18" s="50" t="s">
        <v>55</v>
      </c>
      <c r="P18" s="48"/>
      <c r="Q18" s="48"/>
      <c r="S18" s="15"/>
    </row>
    <row r="19" spans="1:23" ht="15.6">
      <c r="A19" s="18" t="s">
        <v>20</v>
      </c>
      <c r="B19" s="12">
        <f>B17*(1-0.12*EXP(-3*B18/$B6))</f>
        <v>3.6394168391548423</v>
      </c>
      <c r="C19" s="12">
        <f>C17*(1-0.12*EXP(-3*C18/$B6))</f>
        <v>3.484616027410032</v>
      </c>
      <c r="D19" s="12">
        <f>D17*(1-0.12*EXP(-3*D18/$B6))</f>
        <v>3.5885638814010004</v>
      </c>
      <c r="E19" s="55" t="s">
        <v>60</v>
      </c>
      <c r="G19" s="14"/>
      <c r="M19" s="15"/>
    </row>
    <row r="20" spans="1:23">
      <c r="A20" s="25" t="s">
        <v>29</v>
      </c>
      <c r="B20" s="12">
        <f>(1/(1-$H9))+(B19/2)*3*$H8/(1-$H9)^2+(B19/2)^2*2*$H8^2/(1-$H9)^3</f>
        <v>3.7876826487133841</v>
      </c>
      <c r="C20" s="12">
        <f>(1/(1-$H9))+(C19/2)*3*$H8/(1-$H9)^2+(C19/2)^2*2*$H8^2/(1-$H9)^3</f>
        <v>3.6816632355168997</v>
      </c>
      <c r="D20" s="12">
        <f>(1/(1-$H9))+(D19/2)*3*$H8/(1-$H9)^2+(D19/2)^2*2*$H8^2/(1-$H9)^3</f>
        <v>3.7526974760460403</v>
      </c>
      <c r="E20" s="50" t="s">
        <v>50</v>
      </c>
      <c r="M20" s="15">
        <f>1/(1+(H13*(8*H9-2*H9^2)/(1-H9)^4)+(1-H13)*(20*H9-27*H9^2+12*H9^3-2*H9^4)/((1-H9)*(2-H9))^2)</f>
        <v>2.6622725455047482E-2</v>
      </c>
      <c r="N20" s="69" t="s">
        <v>84</v>
      </c>
      <c r="S20" s="14"/>
    </row>
    <row r="21" spans="1:23" ht="15.6">
      <c r="A21" s="27" t="s">
        <v>31</v>
      </c>
      <c r="B21" s="12">
        <f>B16-1</f>
        <v>0</v>
      </c>
      <c r="C21" s="12">
        <f>C16-1</f>
        <v>0.6069</v>
      </c>
      <c r="D21" s="12">
        <f>D16-1</f>
        <v>1.0019999999999998</v>
      </c>
      <c r="E21" s="14"/>
      <c r="F21" s="14"/>
      <c r="G21" s="14"/>
      <c r="M21" s="15"/>
    </row>
    <row r="22" spans="1:23">
      <c r="A22" s="43"/>
      <c r="B22" s="42">
        <f>LN(B20)</f>
        <v>1.3317543937554854</v>
      </c>
      <c r="C22" s="42">
        <f t="shared" ref="C22:D22" si="4">LN(C20)</f>
        <v>1.3033646162479637</v>
      </c>
      <c r="D22" s="42">
        <f t="shared" si="4"/>
        <v>1.3224749083363034</v>
      </c>
      <c r="M22" s="15">
        <f>SUM(S40:U42)</f>
        <v>126.66255993621439</v>
      </c>
      <c r="N22" s="50" t="s">
        <v>56</v>
      </c>
    </row>
    <row r="23" spans="1:23">
      <c r="B23" s="12"/>
      <c r="C23" s="12"/>
      <c r="D23" s="12"/>
      <c r="E23" s="50"/>
      <c r="M23" s="15"/>
    </row>
    <row r="24" spans="1:23">
      <c r="A24" s="2"/>
      <c r="B24" s="14"/>
      <c r="C24" s="14"/>
      <c r="D24" s="14"/>
      <c r="E24" s="24"/>
      <c r="M24" s="15">
        <f>SUM(S46:U48)</f>
        <v>108.73173562112379</v>
      </c>
      <c r="N24" s="50" t="s">
        <v>57</v>
      </c>
    </row>
    <row r="25" spans="1:23">
      <c r="E25" s="24"/>
    </row>
    <row r="26" spans="1:23" ht="15.6">
      <c r="B26" s="52" t="s">
        <v>51</v>
      </c>
      <c r="E26" s="24"/>
      <c r="L26" s="6" t="s">
        <v>89</v>
      </c>
      <c r="R26" s="6" t="s">
        <v>43</v>
      </c>
    </row>
    <row r="27" spans="1:23" ht="15.6">
      <c r="A27" s="2"/>
      <c r="E27" s="24"/>
      <c r="L27" s="7" t="s">
        <v>3</v>
      </c>
      <c r="M27" s="8">
        <v>1</v>
      </c>
      <c r="N27" s="8">
        <v>2</v>
      </c>
      <c r="O27" s="8">
        <v>3</v>
      </c>
      <c r="P27" s="2"/>
      <c r="Q27" s="2"/>
      <c r="R27" s="36" t="s">
        <v>44</v>
      </c>
      <c r="S27" s="35">
        <f>B15</f>
        <v>0.1</v>
      </c>
      <c r="T27" s="35">
        <f>C15</f>
        <v>0.3</v>
      </c>
      <c r="U27" s="35">
        <f>D15</f>
        <v>0.6</v>
      </c>
    </row>
    <row r="28" spans="1:23" ht="15.6">
      <c r="B28" s="30" t="s">
        <v>5</v>
      </c>
      <c r="C28" s="31" t="s">
        <v>33</v>
      </c>
      <c r="D28" s="31" t="s">
        <v>34</v>
      </c>
      <c r="E28" s="31" t="s">
        <v>35</v>
      </c>
      <c r="F28" s="31" t="s">
        <v>36</v>
      </c>
      <c r="G28" s="31" t="s">
        <v>37</v>
      </c>
      <c r="H28" s="31" t="s">
        <v>38</v>
      </c>
      <c r="L28" s="9">
        <v>1</v>
      </c>
      <c r="M28" s="13">
        <v>0</v>
      </c>
      <c r="N28" s="13">
        <f>M29</f>
        <v>2.9999999999999997E-4</v>
      </c>
      <c r="O28" s="13">
        <f>M30</f>
        <v>1.15E-2</v>
      </c>
      <c r="P28" s="13"/>
      <c r="Q28" s="13"/>
      <c r="R28" s="34">
        <f>S27</f>
        <v>0.1</v>
      </c>
      <c r="S28" s="13">
        <f t="shared" ref="S28:U30" si="5">S$27*$R28</f>
        <v>1.0000000000000002E-2</v>
      </c>
      <c r="T28" s="13">
        <f t="shared" si="5"/>
        <v>0.03</v>
      </c>
      <c r="U28" s="13">
        <f t="shared" si="5"/>
        <v>0.06</v>
      </c>
    </row>
    <row r="29" spans="1:23">
      <c r="B29" s="9">
        <v>0</v>
      </c>
      <c r="C29" s="28">
        <v>0.91056314449999998</v>
      </c>
      <c r="D29" s="28">
        <v>-0.30840169179999999</v>
      </c>
      <c r="E29" s="28">
        <v>-9.0614835099999999E-2</v>
      </c>
      <c r="F29" s="28">
        <v>0.72409469410000005</v>
      </c>
      <c r="G29" s="28">
        <v>-0.57554980749999995</v>
      </c>
      <c r="H29" s="28">
        <v>9.7688311599999994E-2</v>
      </c>
      <c r="L29" s="9">
        <v>2</v>
      </c>
      <c r="M29" s="13">
        <v>2.9999999999999997E-4</v>
      </c>
      <c r="N29" s="13">
        <v>0</v>
      </c>
      <c r="O29" s="13">
        <f>N30</f>
        <v>5.1000000000000004E-3</v>
      </c>
      <c r="P29" s="13"/>
      <c r="Q29" s="13"/>
      <c r="R29" s="34">
        <f>T27</f>
        <v>0.3</v>
      </c>
      <c r="S29" s="13">
        <f t="shared" si="5"/>
        <v>0.03</v>
      </c>
      <c r="T29" s="13">
        <f t="shared" si="5"/>
        <v>0.09</v>
      </c>
      <c r="U29" s="13">
        <f t="shared" si="5"/>
        <v>0.18</v>
      </c>
    </row>
    <row r="30" spans="1:23">
      <c r="B30" s="9">
        <v>1</v>
      </c>
      <c r="C30" s="28">
        <v>0.63612814490000003</v>
      </c>
      <c r="D30" s="28">
        <v>0.18605311590000001</v>
      </c>
      <c r="E30" s="28">
        <v>0.45278428059999998</v>
      </c>
      <c r="F30" s="28">
        <v>2.2382791861000002</v>
      </c>
      <c r="G30" s="28">
        <v>0.69950955209999999</v>
      </c>
      <c r="H30" s="28">
        <v>-0.25575749819999999</v>
      </c>
      <c r="L30" s="9">
        <v>3</v>
      </c>
      <c r="M30" s="13">
        <v>1.15E-2</v>
      </c>
      <c r="N30" s="13">
        <v>5.1000000000000004E-3</v>
      </c>
      <c r="O30" s="13">
        <v>0</v>
      </c>
      <c r="P30" s="13"/>
      <c r="Q30" s="13"/>
      <c r="R30" s="34">
        <f>U27</f>
        <v>0.6</v>
      </c>
      <c r="S30" s="13">
        <f t="shared" si="5"/>
        <v>0.06</v>
      </c>
      <c r="T30" s="13">
        <f t="shared" si="5"/>
        <v>0.18</v>
      </c>
      <c r="U30" s="13">
        <f t="shared" si="5"/>
        <v>0.36</v>
      </c>
      <c r="V30" s="14"/>
      <c r="W30" s="14"/>
    </row>
    <row r="31" spans="1:23" s="14" customFormat="1">
      <c r="A31" s="10"/>
      <c r="B31" s="9">
        <v>2</v>
      </c>
      <c r="C31" s="28">
        <v>2.6861347891</v>
      </c>
      <c r="D31" s="28">
        <v>-2.5030047258999999</v>
      </c>
      <c r="E31" s="28">
        <v>0.5962700728</v>
      </c>
      <c r="F31" s="28">
        <v>-4.0025849485</v>
      </c>
      <c r="G31" s="28">
        <v>3.8925673390000002</v>
      </c>
      <c r="H31" s="28">
        <v>-9.1558561530000002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ht="15.6">
      <c r="A32" s="10"/>
      <c r="B32" s="9">
        <v>3</v>
      </c>
      <c r="C32" s="28">
        <v>-26.547362491000001</v>
      </c>
      <c r="D32" s="28">
        <v>21.419793629000001</v>
      </c>
      <c r="E32" s="28">
        <v>-1.7241829130999999</v>
      </c>
      <c r="F32" s="28">
        <v>-21.003576814999999</v>
      </c>
      <c r="G32" s="28">
        <v>-17.215471648000001</v>
      </c>
      <c r="H32" s="28">
        <v>20.642075974000001</v>
      </c>
      <c r="L32" s="6" t="s">
        <v>47</v>
      </c>
      <c r="M32" s="73" t="s">
        <v>92</v>
      </c>
      <c r="R32" s="6" t="s">
        <v>42</v>
      </c>
    </row>
    <row r="33" spans="1:21" ht="15.6">
      <c r="A33" s="10"/>
      <c r="B33" s="9">
        <v>4</v>
      </c>
      <c r="C33" s="28">
        <v>97.759208783999995</v>
      </c>
      <c r="D33" s="28">
        <v>-65.255885329999998</v>
      </c>
      <c r="E33" s="28">
        <v>-4.1302112530999997</v>
      </c>
      <c r="F33" s="28">
        <v>26.855641363</v>
      </c>
      <c r="G33" s="28">
        <v>192.67226446999999</v>
      </c>
      <c r="H33" s="28">
        <v>-38.804430052000001</v>
      </c>
      <c r="L33" s="36" t="s">
        <v>39</v>
      </c>
      <c r="M33" s="35">
        <f>B17</f>
        <v>3.7039</v>
      </c>
      <c r="N33" s="35">
        <f>C17</f>
        <v>3.5206</v>
      </c>
      <c r="O33" s="35">
        <f>D17</f>
        <v>3.6183999999999998</v>
      </c>
      <c r="P33" s="46"/>
      <c r="Q33" s="46"/>
      <c r="R33" s="36" t="s">
        <v>41</v>
      </c>
      <c r="S33" s="37">
        <f>B16</f>
        <v>1</v>
      </c>
      <c r="T33" s="37">
        <f>C16</f>
        <v>1.6069</v>
      </c>
      <c r="U33" s="37">
        <f>D16</f>
        <v>2.0019999999999998</v>
      </c>
    </row>
    <row r="34" spans="1:21">
      <c r="A34" s="10"/>
      <c r="B34" s="9">
        <v>5</v>
      </c>
      <c r="C34" s="28">
        <v>-159.59154086999999</v>
      </c>
      <c r="D34" s="28">
        <v>83.318680481000001</v>
      </c>
      <c r="E34" s="28">
        <v>13.776631869999999</v>
      </c>
      <c r="F34" s="28">
        <v>206.55133841</v>
      </c>
      <c r="G34" s="28">
        <v>-161.82646165</v>
      </c>
      <c r="H34" s="28">
        <v>93.626774076999993</v>
      </c>
      <c r="L34" s="34">
        <f>M33</f>
        <v>3.7039</v>
      </c>
      <c r="M34" s="4">
        <f t="shared" ref="M34:O36" si="6">0.5*(M$33+$L34)</f>
        <v>3.7039</v>
      </c>
      <c r="N34" s="4">
        <f t="shared" si="6"/>
        <v>3.61225</v>
      </c>
      <c r="O34" s="4">
        <f t="shared" si="6"/>
        <v>3.6611500000000001</v>
      </c>
      <c r="P34" s="4"/>
      <c r="Q34" s="4"/>
      <c r="R34" s="38">
        <f>S33</f>
        <v>1</v>
      </c>
      <c r="S34" s="13">
        <f t="shared" ref="S34:U36" si="7">S$33*$R34</f>
        <v>1</v>
      </c>
      <c r="T34" s="13">
        <f t="shared" si="7"/>
        <v>1.6069</v>
      </c>
      <c r="U34" s="13">
        <f t="shared" si="7"/>
        <v>2.0019999999999998</v>
      </c>
    </row>
    <row r="35" spans="1:21">
      <c r="A35" s="10"/>
      <c r="B35" s="9">
        <v>6</v>
      </c>
      <c r="C35" s="28">
        <v>91.297774083999997</v>
      </c>
      <c r="D35" s="28">
        <v>-33.746922929999997</v>
      </c>
      <c r="E35" s="28">
        <v>-8.6728470368000004</v>
      </c>
      <c r="F35" s="28">
        <v>-355.60235612000002</v>
      </c>
      <c r="G35" s="28">
        <v>-165.20769346</v>
      </c>
      <c r="H35" s="28">
        <v>-29.666905584999999</v>
      </c>
      <c r="L35" s="34">
        <f>N33</f>
        <v>3.5206</v>
      </c>
      <c r="M35" s="4">
        <f t="shared" si="6"/>
        <v>3.61225</v>
      </c>
      <c r="N35" s="4">
        <f t="shared" si="6"/>
        <v>3.5206</v>
      </c>
      <c r="O35" s="4">
        <f t="shared" si="6"/>
        <v>3.5694999999999997</v>
      </c>
      <c r="P35" s="4"/>
      <c r="Q35" s="4"/>
      <c r="R35" s="38">
        <f>T33</f>
        <v>1.6069</v>
      </c>
      <c r="S35" s="13">
        <f t="shared" si="7"/>
        <v>1.6069</v>
      </c>
      <c r="T35" s="13">
        <f t="shared" si="7"/>
        <v>2.5821276100000001</v>
      </c>
      <c r="U35" s="13">
        <f t="shared" si="7"/>
        <v>3.2170137999999997</v>
      </c>
    </row>
    <row r="36" spans="1:21">
      <c r="A36" s="10"/>
      <c r="B36" s="10"/>
      <c r="C36" s="10"/>
      <c r="D36" s="10"/>
      <c r="L36" s="34">
        <f>O33</f>
        <v>3.6183999999999998</v>
      </c>
      <c r="M36" s="4">
        <f t="shared" si="6"/>
        <v>3.6611500000000001</v>
      </c>
      <c r="N36" s="4">
        <f t="shared" si="6"/>
        <v>3.5694999999999997</v>
      </c>
      <c r="O36" s="4">
        <f t="shared" si="6"/>
        <v>3.6183999999999998</v>
      </c>
      <c r="P36" s="4"/>
      <c r="Q36" s="4"/>
      <c r="R36" s="38">
        <f>U33</f>
        <v>2.0019999999999998</v>
      </c>
      <c r="S36" s="13">
        <f t="shared" si="7"/>
        <v>2.0019999999999998</v>
      </c>
      <c r="T36" s="13">
        <f t="shared" si="7"/>
        <v>3.2170137999999997</v>
      </c>
      <c r="U36" s="13">
        <f t="shared" si="7"/>
        <v>4.0080039999999988</v>
      </c>
    </row>
    <row r="37" spans="1:21">
      <c r="A37" s="10"/>
      <c r="B37" s="10"/>
      <c r="C37" s="40"/>
      <c r="D37" s="40"/>
      <c r="E37" s="40"/>
      <c r="F37" s="40"/>
      <c r="G37" s="40"/>
      <c r="H37" s="40"/>
    </row>
    <row r="38" spans="1:21" ht="16.8">
      <c r="A38" s="10"/>
      <c r="B38" s="10"/>
      <c r="C38" s="40"/>
      <c r="D38" s="40"/>
      <c r="E38" s="40"/>
      <c r="F38" s="40"/>
      <c r="G38" s="40"/>
      <c r="H38" s="40"/>
      <c r="L38" s="6" t="s">
        <v>48</v>
      </c>
      <c r="M38" s="73" t="s">
        <v>93</v>
      </c>
      <c r="N38" s="14"/>
      <c r="O38" s="14"/>
      <c r="P38" s="14"/>
      <c r="Q38" s="14"/>
      <c r="R38" s="6" t="s">
        <v>46</v>
      </c>
    </row>
    <row r="39" spans="1:21" ht="15.6">
      <c r="A39" s="10"/>
      <c r="B39" s="10"/>
      <c r="C39" s="40"/>
      <c r="D39" s="40"/>
      <c r="E39" s="40"/>
      <c r="F39" s="40"/>
      <c r="G39" s="40"/>
      <c r="H39" s="40"/>
      <c r="L39" s="36" t="s">
        <v>40</v>
      </c>
      <c r="M39" s="33">
        <f>B18</f>
        <v>150.03</v>
      </c>
      <c r="N39" s="33">
        <f>C18</f>
        <v>191.42</v>
      </c>
      <c r="O39" s="33">
        <f>D18</f>
        <v>208.11</v>
      </c>
      <c r="P39" s="10"/>
      <c r="Q39" s="10"/>
      <c r="R39" s="7" t="s">
        <v>3</v>
      </c>
      <c r="S39" s="8">
        <v>1</v>
      </c>
      <c r="T39" s="8">
        <v>2</v>
      </c>
      <c r="U39" s="8">
        <v>3</v>
      </c>
    </row>
    <row r="40" spans="1:21">
      <c r="A40" s="10"/>
      <c r="B40" s="10"/>
      <c r="C40" s="40"/>
      <c r="D40" s="40"/>
      <c r="E40" s="40"/>
      <c r="F40" s="40"/>
      <c r="G40" s="40"/>
      <c r="H40" s="40"/>
      <c r="L40" s="16">
        <f>M39</f>
        <v>150.03</v>
      </c>
      <c r="M40" s="13">
        <f t="shared" ref="M40:O42" si="8">SQRT(M$39*$L40)*(1-M28)</f>
        <v>150.03</v>
      </c>
      <c r="N40" s="13">
        <f t="shared" si="8"/>
        <v>169.41521165210293</v>
      </c>
      <c r="O40" s="13">
        <f t="shared" si="8"/>
        <v>174.66753966293058</v>
      </c>
      <c r="P40" s="13"/>
      <c r="Q40" s="13"/>
      <c r="R40" s="11">
        <f>S39</f>
        <v>1</v>
      </c>
      <c r="S40" s="13">
        <f t="shared" ref="S40:U42" si="9">S28*S34*(M40/$B$6)*M34^3</f>
        <v>0.32697944172440752</v>
      </c>
      <c r="T40" s="13">
        <f t="shared" si="9"/>
        <v>1.6510509963016169</v>
      </c>
      <c r="U40" s="13">
        <f t="shared" si="9"/>
        <v>4.4161587260210959</v>
      </c>
    </row>
    <row r="41" spans="1:21">
      <c r="A41" s="10"/>
      <c r="B41" s="10"/>
      <c r="C41" s="40"/>
      <c r="D41" s="40"/>
      <c r="E41" s="40"/>
      <c r="F41" s="40"/>
      <c r="G41" s="40"/>
      <c r="H41" s="40"/>
      <c r="L41" s="16">
        <f>N39</f>
        <v>191.42</v>
      </c>
      <c r="M41" s="13">
        <f t="shared" si="8"/>
        <v>169.41521165210293</v>
      </c>
      <c r="N41" s="13">
        <f t="shared" si="8"/>
        <v>191.42</v>
      </c>
      <c r="O41" s="13">
        <f t="shared" si="8"/>
        <v>198.57270935338866</v>
      </c>
      <c r="P41" s="13"/>
      <c r="Q41" s="13"/>
      <c r="R41" s="11">
        <f>T39</f>
        <v>2</v>
      </c>
      <c r="S41" s="13">
        <f t="shared" si="9"/>
        <v>1.6510509963016169</v>
      </c>
      <c r="T41" s="13">
        <f t="shared" si="9"/>
        <v>8.3257268210041833</v>
      </c>
      <c r="U41" s="13">
        <f t="shared" si="9"/>
        <v>22.430126841808498</v>
      </c>
    </row>
    <row r="42" spans="1:21">
      <c r="A42" s="10"/>
      <c r="B42" s="10"/>
      <c r="C42" s="40"/>
      <c r="D42" s="40"/>
      <c r="E42" s="40"/>
      <c r="F42" s="40"/>
      <c r="G42" s="40"/>
      <c r="H42" s="40"/>
      <c r="L42" s="16">
        <f>O39</f>
        <v>208.11</v>
      </c>
      <c r="M42" s="13">
        <f t="shared" si="8"/>
        <v>174.66753966293058</v>
      </c>
      <c r="N42" s="13">
        <f t="shared" si="8"/>
        <v>198.57270935338866</v>
      </c>
      <c r="O42" s="13">
        <f t="shared" si="8"/>
        <v>208.11</v>
      </c>
      <c r="P42" s="13"/>
      <c r="Q42" s="13"/>
      <c r="R42" s="11">
        <f>U39</f>
        <v>3</v>
      </c>
      <c r="S42" s="13">
        <f t="shared" si="9"/>
        <v>4.4161587260210959</v>
      </c>
      <c r="T42" s="13">
        <f t="shared" si="9"/>
        <v>22.430126841808498</v>
      </c>
      <c r="U42" s="13">
        <f t="shared" si="9"/>
        <v>61.015180545223366</v>
      </c>
    </row>
    <row r="43" spans="1:21">
      <c r="A43" s="10"/>
      <c r="B43" s="10"/>
      <c r="C43" s="40"/>
      <c r="D43" s="40"/>
      <c r="E43" s="40"/>
      <c r="F43" s="40"/>
      <c r="G43" s="40"/>
      <c r="H43" s="40"/>
    </row>
    <row r="44" spans="1:21" ht="16.8">
      <c r="A44" s="10"/>
      <c r="B44" s="10"/>
      <c r="C44" s="10"/>
      <c r="D44" s="10"/>
      <c r="L44" s="6"/>
      <c r="R44" s="6" t="s">
        <v>45</v>
      </c>
    </row>
    <row r="45" spans="1:21">
      <c r="A45" s="10"/>
      <c r="B45" s="10"/>
      <c r="C45" s="13"/>
      <c r="D45" s="13"/>
      <c r="E45" s="13"/>
      <c r="F45" s="13"/>
      <c r="G45" s="13"/>
      <c r="H45" s="13"/>
      <c r="L45" s="41"/>
      <c r="M45" s="10"/>
      <c r="N45" s="10"/>
      <c r="O45" s="10"/>
      <c r="P45" s="10"/>
      <c r="Q45" s="10"/>
      <c r="R45" s="7" t="s">
        <v>3</v>
      </c>
      <c r="S45" s="8">
        <v>1</v>
      </c>
      <c r="T45" s="8">
        <v>2</v>
      </c>
      <c r="U45" s="8">
        <v>3</v>
      </c>
    </row>
    <row r="46" spans="1:21">
      <c r="A46" s="10"/>
      <c r="B46" s="10"/>
      <c r="C46" s="13"/>
      <c r="D46" s="13"/>
      <c r="E46" s="13"/>
      <c r="F46" s="13"/>
      <c r="G46" s="13"/>
      <c r="H46" s="13"/>
      <c r="L46" s="10"/>
      <c r="M46" s="13"/>
      <c r="N46" s="13"/>
      <c r="O46" s="13"/>
      <c r="P46" s="13"/>
      <c r="Q46" s="13"/>
      <c r="R46" s="11">
        <f>S45</f>
        <v>1</v>
      </c>
      <c r="S46" s="13">
        <f t="shared" ref="S46:U48" si="10">S28*S34*(M40/$B$6)^2*M34^3</f>
        <v>0.21040843080382951</v>
      </c>
      <c r="T46" s="13">
        <f t="shared" si="10"/>
        <v>1.1997132918158002</v>
      </c>
      <c r="U46" s="13">
        <f t="shared" si="10"/>
        <v>3.3084262467728363</v>
      </c>
    </row>
    <row r="47" spans="1:21">
      <c r="A47" s="10"/>
      <c r="B47" s="10"/>
      <c r="C47" s="13"/>
      <c r="D47" s="13"/>
      <c r="E47" s="13"/>
      <c r="F47" s="13"/>
      <c r="G47" s="13"/>
      <c r="H47" s="13"/>
      <c r="L47" s="10"/>
      <c r="M47" s="13"/>
      <c r="N47" s="13"/>
      <c r="O47" s="13"/>
      <c r="P47" s="13"/>
      <c r="Q47" s="13"/>
      <c r="R47" s="11">
        <f>T45</f>
        <v>2</v>
      </c>
      <c r="S47" s="13">
        <f t="shared" si="10"/>
        <v>1.1997132918158002</v>
      </c>
      <c r="T47" s="13">
        <f t="shared" si="10"/>
        <v>6.8355592025589553</v>
      </c>
      <c r="U47" s="13">
        <f t="shared" si="10"/>
        <v>19.103628814574655</v>
      </c>
    </row>
    <row r="48" spans="1:21">
      <c r="A48" s="10"/>
      <c r="B48" s="10"/>
      <c r="C48" s="13"/>
      <c r="D48" s="13"/>
      <c r="E48" s="13"/>
      <c r="F48" s="13"/>
      <c r="G48" s="13"/>
      <c r="H48" s="13"/>
      <c r="L48" s="10"/>
      <c r="M48" s="13"/>
      <c r="N48" s="13"/>
      <c r="O48" s="13"/>
      <c r="P48" s="13"/>
      <c r="Q48" s="13"/>
      <c r="R48" s="11">
        <f>U45</f>
        <v>3</v>
      </c>
      <c r="S48" s="13">
        <f t="shared" si="10"/>
        <v>3.3084262467728363</v>
      </c>
      <c r="T48" s="13">
        <f t="shared" si="10"/>
        <v>19.103628814574655</v>
      </c>
      <c r="U48" s="13">
        <f t="shared" si="10"/>
        <v>54.462231281434427</v>
      </c>
    </row>
    <row r="49" spans="1:8">
      <c r="A49" s="10"/>
      <c r="B49" s="10"/>
      <c r="C49" s="13"/>
      <c r="D49" s="13"/>
      <c r="E49" s="13"/>
      <c r="F49" s="13"/>
      <c r="G49" s="13"/>
      <c r="H49" s="13"/>
    </row>
    <row r="50" spans="1:8">
      <c r="A50" s="10"/>
      <c r="B50" s="10"/>
      <c r="C50" s="13"/>
      <c r="D50" s="13"/>
      <c r="E50" s="13"/>
      <c r="F50" s="13"/>
      <c r="G50" s="13"/>
      <c r="H50" s="13"/>
    </row>
    <row r="51" spans="1:8">
      <c r="A51" s="10"/>
      <c r="B51" s="10"/>
      <c r="C51" s="13"/>
      <c r="D51" s="13"/>
      <c r="E51" s="13"/>
      <c r="F51" s="13"/>
      <c r="G51" s="13"/>
      <c r="H51" s="13"/>
    </row>
    <row r="52" spans="1:8">
      <c r="A52" s="10"/>
      <c r="B52" s="10"/>
      <c r="C52" s="13"/>
      <c r="D52" s="13"/>
      <c r="E52" s="13"/>
      <c r="F52" s="13"/>
      <c r="G52" s="13"/>
      <c r="H52" s="13"/>
    </row>
    <row r="53" spans="1:8">
      <c r="A53" s="10"/>
      <c r="B53" s="10"/>
      <c r="C53" s="13"/>
      <c r="D53" s="13"/>
      <c r="E53" s="13"/>
      <c r="F53" s="13"/>
      <c r="G53" s="13"/>
      <c r="H53" s="13"/>
    </row>
    <row r="54" spans="1:8">
      <c r="A54" s="10"/>
      <c r="B54" s="10"/>
      <c r="C54" s="10"/>
      <c r="D54" s="10"/>
    </row>
    <row r="55" spans="1:8">
      <c r="A55" s="10"/>
      <c r="B55" s="10"/>
      <c r="C55" s="10"/>
      <c r="D55" s="10"/>
    </row>
    <row r="56" spans="1:8">
      <c r="A56" s="10"/>
      <c r="B56" s="10"/>
      <c r="C56" s="10"/>
      <c r="D56" s="10"/>
    </row>
    <row r="57" spans="1:8">
      <c r="A57" s="10"/>
      <c r="B57" s="10"/>
      <c r="C57" s="10"/>
      <c r="D57" s="10"/>
    </row>
    <row r="58" spans="1:8">
      <c r="A58" s="10"/>
      <c r="B58" s="10"/>
      <c r="C58" s="10"/>
      <c r="D58" s="10"/>
    </row>
    <row r="59" spans="1:8">
      <c r="A59" s="10"/>
      <c r="B59" s="10"/>
      <c r="C59" s="10"/>
      <c r="D59" s="10"/>
    </row>
    <row r="60" spans="1:8">
      <c r="A60" s="10"/>
      <c r="B60" s="10"/>
      <c r="C60" s="10"/>
      <c r="D60" s="10"/>
    </row>
    <row r="61" spans="1:8">
      <c r="A61" s="10"/>
      <c r="B61" s="10"/>
      <c r="C61" s="10"/>
      <c r="D61" s="10"/>
    </row>
    <row r="62" spans="1:8">
      <c r="A62" s="10"/>
      <c r="B62" s="10"/>
      <c r="C62" s="10"/>
      <c r="D62" s="10"/>
    </row>
    <row r="63" spans="1:8">
      <c r="A63" s="10"/>
      <c r="B63" s="10"/>
      <c r="C63" s="10"/>
      <c r="D63" s="10"/>
    </row>
    <row r="64" spans="1:8">
      <c r="A64" s="10"/>
      <c r="B64" s="10"/>
      <c r="C64" s="10"/>
      <c r="D64" s="10"/>
    </row>
    <row r="65" spans="1:4">
      <c r="A65" s="10"/>
      <c r="B65" s="10"/>
      <c r="C65" s="10"/>
      <c r="D65" s="10"/>
    </row>
    <row r="66" spans="1:4">
      <c r="A66" s="10"/>
      <c r="B66" s="10"/>
      <c r="C66" s="10"/>
      <c r="D66" s="10"/>
    </row>
    <row r="67" spans="1:4">
      <c r="A67" s="10"/>
      <c r="B67" s="10"/>
      <c r="C67" s="10"/>
      <c r="D67" s="10"/>
    </row>
    <row r="68" spans="1:4">
      <c r="A68" s="10"/>
      <c r="B68" s="10"/>
      <c r="C68" s="10"/>
      <c r="D68" s="10"/>
    </row>
    <row r="69" spans="1:4">
      <c r="A69" s="10"/>
      <c r="B69" s="10"/>
      <c r="C69" s="10"/>
      <c r="D69" s="10"/>
    </row>
    <row r="70" spans="1:4">
      <c r="A70" s="10"/>
      <c r="B70" s="10"/>
      <c r="C70" s="10"/>
      <c r="D70" s="10"/>
    </row>
    <row r="71" spans="1:4">
      <c r="A71" s="10"/>
      <c r="B71" s="10"/>
      <c r="C71" s="10"/>
      <c r="D71" s="10"/>
    </row>
    <row r="72" spans="1:4">
      <c r="A72" s="10"/>
      <c r="B72" s="10"/>
      <c r="C72" s="10"/>
      <c r="D72" s="10"/>
    </row>
    <row r="73" spans="1:4">
      <c r="A73" s="10"/>
      <c r="B73" s="10"/>
      <c r="C73" s="10"/>
      <c r="D73" s="10"/>
    </row>
    <row r="74" spans="1:4">
      <c r="A74" s="10"/>
      <c r="B74" s="10"/>
      <c r="C74" s="10"/>
      <c r="D74" s="10"/>
    </row>
    <row r="75" spans="1:4">
      <c r="A75" s="10"/>
      <c r="B75" s="10"/>
      <c r="C75" s="10"/>
      <c r="D75" s="10"/>
    </row>
    <row r="76" spans="1:4">
      <c r="A76" s="10"/>
      <c r="B76" s="10"/>
      <c r="C76" s="10"/>
      <c r="D76" s="10"/>
    </row>
    <row r="77" spans="1:4">
      <c r="A77" s="10"/>
      <c r="B77" s="10"/>
      <c r="C77" s="10"/>
      <c r="D77" s="10"/>
    </row>
    <row r="78" spans="1:4">
      <c r="A78" s="10"/>
      <c r="B78" s="10"/>
      <c r="C78" s="10"/>
      <c r="D78" s="10"/>
    </row>
    <row r="79" spans="1:4">
      <c r="A79" s="10"/>
      <c r="B79" s="10"/>
      <c r="C79" s="10"/>
      <c r="D79" s="10"/>
    </row>
    <row r="80" spans="1:4">
      <c r="A80" s="10"/>
      <c r="B80" s="10"/>
      <c r="C80" s="10"/>
      <c r="D80" s="10"/>
    </row>
    <row r="81" spans="1:4">
      <c r="A81" s="10"/>
      <c r="B81" s="10"/>
      <c r="C81" s="10"/>
      <c r="D81" s="10"/>
    </row>
    <row r="82" spans="1:4">
      <c r="A82" s="10"/>
      <c r="B82" s="10"/>
      <c r="C82" s="10"/>
      <c r="D82" s="10"/>
    </row>
    <row r="83" spans="1:4">
      <c r="A83" s="10"/>
      <c r="B83" s="10"/>
      <c r="C83" s="10"/>
      <c r="D83" s="10"/>
    </row>
    <row r="84" spans="1:4">
      <c r="A84" s="10"/>
      <c r="B84" s="10"/>
      <c r="C84" s="10"/>
      <c r="D84" s="10"/>
    </row>
    <row r="85" spans="1:4">
      <c r="A85" s="10"/>
      <c r="B85" s="10"/>
      <c r="C85" s="10"/>
      <c r="D85" s="10"/>
    </row>
    <row r="86" spans="1:4">
      <c r="A86" s="10"/>
      <c r="B86" s="10"/>
      <c r="C86" s="10"/>
      <c r="D86" s="10"/>
    </row>
    <row r="87" spans="1:4">
      <c r="A87" s="10"/>
      <c r="B87" s="10"/>
      <c r="C87" s="10"/>
      <c r="D87" s="10"/>
    </row>
    <row r="88" spans="1:4">
      <c r="A88" s="10"/>
      <c r="B88" s="10"/>
      <c r="C88" s="10"/>
      <c r="D88" s="10"/>
    </row>
    <row r="89" spans="1:4">
      <c r="A89" s="10"/>
      <c r="B89" s="10"/>
      <c r="C89" s="10"/>
      <c r="D89" s="10"/>
    </row>
    <row r="90" spans="1:4">
      <c r="A90" s="10"/>
      <c r="B90" s="10"/>
      <c r="C90" s="10"/>
      <c r="D90" s="10"/>
    </row>
    <row r="91" spans="1:4">
      <c r="A91" s="10"/>
      <c r="B91" s="10"/>
      <c r="C91" s="10"/>
      <c r="D91" s="10"/>
    </row>
    <row r="92" spans="1:4">
      <c r="A92" s="10"/>
      <c r="B92" s="10"/>
      <c r="C92" s="10"/>
      <c r="D92" s="10"/>
    </row>
    <row r="93" spans="1:4">
      <c r="A93" s="10"/>
      <c r="B93" s="10"/>
      <c r="C93" s="10"/>
      <c r="D93" s="10"/>
    </row>
    <row r="94" spans="1:4">
      <c r="A94" s="10"/>
      <c r="B94" s="10"/>
      <c r="C94" s="10"/>
      <c r="D94" s="10"/>
    </row>
    <row r="95" spans="1:4">
      <c r="A95" s="10"/>
      <c r="B95" s="10"/>
      <c r="C95" s="10"/>
      <c r="D95" s="10"/>
    </row>
    <row r="96" spans="1:4">
      <c r="A96" s="10"/>
      <c r="B96" s="10"/>
      <c r="C96" s="10"/>
      <c r="D96" s="10"/>
    </row>
    <row r="97" spans="1:4">
      <c r="A97" s="10"/>
      <c r="B97" s="10"/>
      <c r="C97" s="10"/>
      <c r="D97" s="10"/>
    </row>
    <row r="98" spans="1:4">
      <c r="A98" s="10"/>
      <c r="B98" s="10"/>
      <c r="C98" s="10"/>
      <c r="D98" s="10"/>
    </row>
    <row r="99" spans="1:4">
      <c r="A99" s="10"/>
      <c r="B99" s="10"/>
      <c r="C99" s="10"/>
      <c r="D99" s="10"/>
    </row>
    <row r="100" spans="1:4">
      <c r="A100" s="10"/>
      <c r="B100" s="10"/>
      <c r="C100" s="10"/>
      <c r="D100" s="10"/>
    </row>
    <row r="101" spans="1:4">
      <c r="A101" s="10"/>
      <c r="B101" s="10"/>
      <c r="C101" s="10"/>
      <c r="D101" s="10"/>
    </row>
    <row r="102" spans="1:4">
      <c r="A102" s="10"/>
      <c r="B102" s="10"/>
      <c r="C102" s="10"/>
      <c r="D102" s="10"/>
    </row>
    <row r="103" spans="1:4">
      <c r="A103" s="10"/>
      <c r="B103" s="10"/>
      <c r="C103" s="10"/>
      <c r="D103" s="10"/>
    </row>
    <row r="104" spans="1:4">
      <c r="A104" s="10"/>
      <c r="B104" s="10"/>
      <c r="C104" s="10"/>
      <c r="D104" s="10"/>
    </row>
    <row r="105" spans="1:4">
      <c r="A105" s="10"/>
      <c r="B105" s="10"/>
      <c r="C105" s="10"/>
      <c r="D105" s="10"/>
    </row>
    <row r="106" spans="1:4">
      <c r="A106" s="10"/>
      <c r="B106" s="10"/>
      <c r="C106" s="10"/>
      <c r="D106" s="10"/>
    </row>
    <row r="107" spans="1:4">
      <c r="A107" s="10"/>
      <c r="B107" s="10"/>
      <c r="C107" s="10"/>
      <c r="D107" s="10"/>
    </row>
    <row r="108" spans="1:4">
      <c r="A108" s="10"/>
      <c r="B108" s="10"/>
      <c r="C108" s="10"/>
      <c r="D108" s="10"/>
    </row>
    <row r="109" spans="1:4">
      <c r="A109" s="10"/>
      <c r="B109" s="10"/>
      <c r="C109" s="10"/>
      <c r="D109" s="10"/>
    </row>
    <row r="110" spans="1:4">
      <c r="A110" s="10"/>
      <c r="B110" s="10"/>
      <c r="C110" s="10"/>
      <c r="D110" s="10"/>
    </row>
    <row r="111" spans="1:4">
      <c r="A111" s="10"/>
      <c r="B111" s="10"/>
      <c r="C111" s="10"/>
      <c r="D111" s="10"/>
    </row>
    <row r="112" spans="1:4">
      <c r="A112" s="10"/>
      <c r="B112" s="10"/>
      <c r="C112" s="10"/>
      <c r="D112" s="10"/>
    </row>
    <row r="113" spans="1:4">
      <c r="A113" s="10"/>
      <c r="B113" s="10"/>
      <c r="C113" s="10"/>
      <c r="D113" s="10"/>
    </row>
    <row r="114" spans="1:4">
      <c r="A114" s="10"/>
      <c r="B114" s="10"/>
      <c r="C114" s="10"/>
      <c r="D114" s="10"/>
    </row>
    <row r="115" spans="1:4">
      <c r="A115" s="10"/>
      <c r="B115" s="10"/>
      <c r="C115" s="10"/>
      <c r="D115" s="10"/>
    </row>
    <row r="116" spans="1:4">
      <c r="A116" s="10"/>
      <c r="B116" s="10"/>
      <c r="C116" s="10"/>
      <c r="D116" s="10"/>
    </row>
    <row r="117" spans="1:4">
      <c r="A117" s="10"/>
      <c r="B117" s="10"/>
      <c r="C117" s="10"/>
      <c r="D117" s="10"/>
    </row>
    <row r="118" spans="1:4">
      <c r="A118" s="10"/>
      <c r="B118" s="10"/>
      <c r="C118" s="10"/>
      <c r="D118" s="10"/>
    </row>
    <row r="119" spans="1:4">
      <c r="A119" s="10"/>
      <c r="B119" s="10"/>
      <c r="C119" s="10"/>
      <c r="D119" s="10"/>
    </row>
    <row r="120" spans="1:4">
      <c r="A120" s="10"/>
      <c r="B120" s="10"/>
      <c r="C120" s="10"/>
      <c r="D120" s="10"/>
    </row>
    <row r="121" spans="1:4">
      <c r="A121" s="10"/>
      <c r="B121" s="10"/>
      <c r="C121" s="10"/>
      <c r="D121" s="10"/>
    </row>
    <row r="122" spans="1:4">
      <c r="A122" s="10"/>
      <c r="B122" s="10"/>
      <c r="C122" s="10"/>
      <c r="D122" s="10"/>
    </row>
    <row r="123" spans="1:4">
      <c r="A123" s="10"/>
      <c r="B123" s="10"/>
      <c r="C123" s="10"/>
      <c r="D123" s="10"/>
    </row>
    <row r="124" spans="1:4">
      <c r="A124" s="10"/>
      <c r="B124" s="10"/>
      <c r="C124" s="10"/>
      <c r="D124" s="10"/>
    </row>
    <row r="125" spans="1:4">
      <c r="A125" s="10"/>
      <c r="B125" s="10"/>
      <c r="C125" s="10"/>
      <c r="D125" s="10"/>
    </row>
    <row r="126" spans="1:4">
      <c r="A126" s="10"/>
      <c r="B126" s="10"/>
      <c r="C126" s="10"/>
      <c r="D126" s="10"/>
    </row>
    <row r="127" spans="1:4">
      <c r="A127" s="10"/>
      <c r="B127" s="10"/>
      <c r="C127" s="10"/>
      <c r="D127" s="10"/>
    </row>
    <row r="128" spans="1:4">
      <c r="A128" s="10"/>
      <c r="B128" s="10"/>
      <c r="C128" s="10"/>
      <c r="D128" s="10"/>
    </row>
    <row r="129" spans="1:4">
      <c r="A129" s="10"/>
      <c r="B129" s="10"/>
      <c r="C129" s="10"/>
      <c r="D129" s="10"/>
    </row>
    <row r="130" spans="1:4">
      <c r="A130" s="10"/>
      <c r="B130" s="10"/>
      <c r="C130" s="10"/>
      <c r="D130" s="10"/>
    </row>
    <row r="131" spans="1:4">
      <c r="A131" s="10"/>
      <c r="B131" s="10"/>
      <c r="C131" s="10"/>
      <c r="D131" s="10"/>
    </row>
    <row r="132" spans="1:4">
      <c r="A132" s="10"/>
      <c r="B132" s="10"/>
      <c r="C132" s="10"/>
      <c r="D132" s="10"/>
    </row>
    <row r="133" spans="1:4">
      <c r="A133" s="10"/>
      <c r="B133" s="10"/>
      <c r="C133" s="10"/>
      <c r="D133" s="10"/>
    </row>
    <row r="134" spans="1:4">
      <c r="A134" s="10"/>
      <c r="B134" s="10"/>
      <c r="C134" s="10"/>
      <c r="D134" s="10"/>
    </row>
    <row r="135" spans="1:4">
      <c r="A135" s="10"/>
      <c r="B135" s="10"/>
      <c r="C135" s="10"/>
      <c r="D135" s="10"/>
    </row>
    <row r="136" spans="1:4">
      <c r="A136" s="10"/>
      <c r="B136" s="10"/>
      <c r="C136" s="10"/>
      <c r="D136" s="10"/>
    </row>
    <row r="137" spans="1:4">
      <c r="A137" s="10"/>
      <c r="B137" s="10"/>
      <c r="C137" s="10"/>
      <c r="D137" s="10"/>
    </row>
    <row r="138" spans="1:4">
      <c r="A138" s="10"/>
      <c r="B138" s="10"/>
      <c r="C138" s="10"/>
      <c r="D138" s="10"/>
    </row>
    <row r="139" spans="1:4">
      <c r="A139" s="10"/>
      <c r="B139" s="10"/>
      <c r="C139" s="10"/>
      <c r="D139" s="10"/>
    </row>
    <row r="140" spans="1:4">
      <c r="A140" s="10"/>
      <c r="B140" s="10"/>
      <c r="C140" s="10"/>
      <c r="D140" s="10"/>
    </row>
    <row r="141" spans="1:4">
      <c r="A141" s="10"/>
      <c r="B141" s="10"/>
      <c r="C141" s="10"/>
      <c r="D141" s="10"/>
    </row>
    <row r="142" spans="1:4">
      <c r="A142" s="10"/>
      <c r="B142" s="10"/>
      <c r="C142" s="10"/>
      <c r="D142" s="10"/>
    </row>
    <row r="143" spans="1:4">
      <c r="A143" s="10"/>
      <c r="B143" s="10"/>
      <c r="C143" s="10"/>
      <c r="D143" s="10"/>
    </row>
    <row r="144" spans="1:4">
      <c r="A144" s="10"/>
      <c r="B144" s="10"/>
      <c r="C144" s="10"/>
      <c r="D144" s="10"/>
    </row>
    <row r="145" spans="1:4">
      <c r="A145" s="10"/>
      <c r="B145" s="10"/>
      <c r="C145" s="10"/>
      <c r="D145" s="10"/>
    </row>
    <row r="146" spans="1:4">
      <c r="A146" s="10"/>
      <c r="B146" s="10"/>
      <c r="C146" s="10"/>
      <c r="D146" s="10"/>
    </row>
    <row r="147" spans="1:4">
      <c r="A147" s="10"/>
      <c r="B147" s="10"/>
      <c r="C147" s="10"/>
      <c r="D147" s="10"/>
    </row>
    <row r="148" spans="1:4">
      <c r="A148" s="10"/>
      <c r="B148" s="10"/>
      <c r="C148" s="10"/>
      <c r="D148" s="10"/>
    </row>
    <row r="149" spans="1:4">
      <c r="A149" s="10"/>
      <c r="B149" s="10"/>
      <c r="C149" s="10"/>
      <c r="D149" s="10"/>
    </row>
    <row r="150" spans="1:4">
      <c r="A150" s="10"/>
      <c r="B150" s="10"/>
      <c r="C150" s="10"/>
      <c r="D150" s="10"/>
    </row>
    <row r="151" spans="1:4">
      <c r="A151" s="10"/>
      <c r="B151" s="10"/>
      <c r="C151" s="10"/>
      <c r="D151" s="10"/>
    </row>
    <row r="152" spans="1:4">
      <c r="A152" s="10"/>
      <c r="B152" s="10"/>
      <c r="C152" s="10"/>
      <c r="D152" s="10"/>
    </row>
    <row r="153" spans="1:4">
      <c r="A153" s="10"/>
      <c r="B153" s="10"/>
      <c r="C153" s="10"/>
      <c r="D153" s="10"/>
    </row>
    <row r="154" spans="1:4">
      <c r="A154" s="10"/>
      <c r="B154" s="10"/>
      <c r="C154" s="10"/>
      <c r="D154" s="10"/>
    </row>
    <row r="155" spans="1:4">
      <c r="A155" s="10"/>
      <c r="B155" s="10"/>
      <c r="C155" s="10"/>
      <c r="D155" s="10"/>
    </row>
    <row r="156" spans="1:4">
      <c r="A156" s="10"/>
      <c r="B156" s="10"/>
      <c r="C156" s="10"/>
      <c r="D156" s="10"/>
    </row>
    <row r="157" spans="1:4">
      <c r="A157" s="10"/>
      <c r="B157" s="10"/>
      <c r="C157" s="10"/>
      <c r="D157" s="10"/>
    </row>
    <row r="158" spans="1:4">
      <c r="A158" s="10"/>
      <c r="B158" s="10"/>
      <c r="C158" s="10"/>
      <c r="D158" s="10"/>
    </row>
    <row r="159" spans="1:4">
      <c r="A159" s="10"/>
      <c r="B159" s="10"/>
      <c r="C159" s="10"/>
      <c r="D159" s="10"/>
    </row>
    <row r="160" spans="1:4">
      <c r="A160" s="10"/>
      <c r="B160" s="10"/>
      <c r="C160" s="10"/>
      <c r="D160" s="10"/>
    </row>
    <row r="161" spans="1:4">
      <c r="A161" s="10"/>
      <c r="B161" s="10"/>
      <c r="C161" s="10"/>
      <c r="D161" s="10"/>
    </row>
    <row r="162" spans="1:4">
      <c r="A162" s="10"/>
      <c r="B162" s="10"/>
      <c r="C162" s="10"/>
      <c r="D162" s="10"/>
    </row>
    <row r="163" spans="1:4">
      <c r="A163" s="10"/>
      <c r="B163" s="10"/>
      <c r="C163" s="10"/>
      <c r="D163" s="10"/>
    </row>
    <row r="164" spans="1:4">
      <c r="A164" s="10"/>
      <c r="B164" s="10"/>
      <c r="C164" s="10"/>
      <c r="D164" s="10"/>
    </row>
    <row r="165" spans="1:4">
      <c r="A165" s="10"/>
      <c r="B165" s="10"/>
      <c r="C165" s="10"/>
      <c r="D165" s="10"/>
    </row>
    <row r="166" spans="1:4">
      <c r="A166" s="10"/>
      <c r="B166" s="10"/>
      <c r="C166" s="10"/>
      <c r="D166" s="10"/>
    </row>
    <row r="167" spans="1:4">
      <c r="A167" s="10"/>
      <c r="B167" s="10"/>
      <c r="C167" s="10"/>
      <c r="D167" s="10"/>
    </row>
    <row r="168" spans="1:4">
      <c r="A168" s="10"/>
      <c r="B168" s="10"/>
      <c r="C168" s="10"/>
      <c r="D168" s="10"/>
    </row>
    <row r="169" spans="1:4">
      <c r="A169" s="10"/>
      <c r="B169" s="10"/>
      <c r="C169" s="10"/>
      <c r="D169" s="10"/>
    </row>
    <row r="170" spans="1:4">
      <c r="A170" s="10"/>
      <c r="B170" s="10"/>
      <c r="C170" s="10"/>
      <c r="D170" s="10"/>
    </row>
    <row r="171" spans="1:4">
      <c r="A171" s="10"/>
      <c r="B171" s="10"/>
      <c r="C171" s="10"/>
      <c r="D171" s="10"/>
    </row>
    <row r="172" spans="1:4">
      <c r="A172" s="10"/>
      <c r="B172" s="10"/>
      <c r="C172" s="10"/>
      <c r="D172" s="10"/>
    </row>
    <row r="173" spans="1:4">
      <c r="A173" s="10"/>
      <c r="B173" s="10"/>
      <c r="C173" s="10"/>
      <c r="D173" s="10"/>
    </row>
    <row r="174" spans="1:4">
      <c r="A174" s="10"/>
      <c r="B174" s="10"/>
      <c r="C174" s="10"/>
      <c r="D174" s="10"/>
    </row>
    <row r="175" spans="1:4">
      <c r="A175" s="10"/>
      <c r="B175" s="10"/>
      <c r="C175" s="10"/>
      <c r="D175" s="10"/>
    </row>
    <row r="176" spans="1:4">
      <c r="A176" s="10"/>
      <c r="B176" s="10"/>
      <c r="C176" s="10"/>
      <c r="D176" s="10"/>
    </row>
    <row r="177" spans="1:4">
      <c r="A177" s="10"/>
      <c r="B177" s="10"/>
      <c r="C177" s="10"/>
      <c r="D177" s="10"/>
    </row>
    <row r="178" spans="1:4">
      <c r="A178" s="10"/>
      <c r="B178" s="10"/>
      <c r="C178" s="10"/>
      <c r="D178" s="10"/>
    </row>
    <row r="179" spans="1:4">
      <c r="A179" s="10"/>
      <c r="B179" s="10"/>
      <c r="C179" s="10"/>
      <c r="D179" s="10"/>
    </row>
    <row r="180" spans="1:4">
      <c r="A180" s="10"/>
      <c r="B180" s="10"/>
      <c r="C180" s="10"/>
      <c r="D180" s="10"/>
    </row>
    <row r="181" spans="1:4">
      <c r="A181" s="10"/>
      <c r="B181" s="10"/>
      <c r="C181" s="10"/>
      <c r="D181" s="10"/>
    </row>
    <row r="182" spans="1:4">
      <c r="A182" s="10"/>
      <c r="B182" s="10"/>
      <c r="C182" s="10"/>
      <c r="D182" s="10"/>
    </row>
    <row r="183" spans="1:4">
      <c r="A183" s="10"/>
      <c r="B183" s="10"/>
      <c r="C183" s="10"/>
      <c r="D183" s="10"/>
    </row>
    <row r="184" spans="1:4">
      <c r="A184" s="10"/>
      <c r="B184" s="10"/>
      <c r="C184" s="10"/>
      <c r="D184" s="10"/>
    </row>
    <row r="185" spans="1:4">
      <c r="A185" s="10"/>
      <c r="B185" s="10"/>
      <c r="C185" s="10"/>
      <c r="D185" s="10"/>
    </row>
    <row r="186" spans="1:4">
      <c r="A186" s="10"/>
      <c r="B186" s="10"/>
      <c r="C186" s="10"/>
      <c r="D186" s="10"/>
    </row>
    <row r="187" spans="1:4">
      <c r="A187" s="10"/>
      <c r="B187" s="10"/>
      <c r="C187" s="10"/>
      <c r="D187" s="10"/>
    </row>
    <row r="188" spans="1:4">
      <c r="A188" s="10"/>
      <c r="B188" s="10"/>
      <c r="C188" s="10"/>
      <c r="D188" s="10"/>
    </row>
    <row r="189" spans="1:4">
      <c r="A189" s="10"/>
      <c r="B189" s="10"/>
      <c r="C189" s="10"/>
      <c r="D189" s="10"/>
    </row>
    <row r="190" spans="1:4">
      <c r="A190" s="10"/>
      <c r="B190" s="10"/>
      <c r="C190" s="10"/>
      <c r="D190" s="10"/>
    </row>
    <row r="191" spans="1:4">
      <c r="A191" s="10"/>
      <c r="B191" s="10"/>
      <c r="C191" s="10"/>
      <c r="D191" s="10"/>
    </row>
    <row r="192" spans="1:4">
      <c r="A192" s="10"/>
      <c r="B192" s="10"/>
      <c r="C192" s="10"/>
      <c r="D192" s="10"/>
    </row>
    <row r="193" spans="1:4">
      <c r="A193" s="10"/>
      <c r="B193" s="10"/>
      <c r="C193" s="10"/>
      <c r="D193" s="10"/>
    </row>
    <row r="194" spans="1:4">
      <c r="A194" s="10"/>
      <c r="B194" s="10"/>
      <c r="C194" s="10"/>
      <c r="D194" s="10"/>
    </row>
    <row r="195" spans="1:4">
      <c r="A195" s="10"/>
      <c r="B195" s="10"/>
      <c r="C195" s="10"/>
      <c r="D195" s="10"/>
    </row>
    <row r="196" spans="1:4">
      <c r="A196" s="10"/>
      <c r="B196" s="10"/>
      <c r="C196" s="10"/>
      <c r="D196" s="10"/>
    </row>
    <row r="197" spans="1:4">
      <c r="A197" s="10"/>
      <c r="B197" s="10"/>
      <c r="C197" s="10"/>
      <c r="D197" s="10"/>
    </row>
    <row r="198" spans="1:4">
      <c r="A198" s="10"/>
      <c r="B198" s="10"/>
      <c r="C198" s="10"/>
      <c r="D198" s="10"/>
    </row>
    <row r="199" spans="1:4">
      <c r="A199" s="10"/>
      <c r="B199" s="10"/>
      <c r="C199" s="10"/>
      <c r="D199" s="10"/>
    </row>
    <row r="200" spans="1:4">
      <c r="A200" s="10"/>
      <c r="B200" s="10"/>
      <c r="C200" s="10"/>
      <c r="D200" s="10"/>
    </row>
    <row r="201" spans="1:4">
      <c r="A201" s="10"/>
      <c r="B201" s="10"/>
      <c r="C201" s="10"/>
      <c r="D201" s="10"/>
    </row>
    <row r="202" spans="1:4">
      <c r="A202" s="10"/>
      <c r="B202" s="10"/>
      <c r="C202" s="10"/>
      <c r="D202" s="10"/>
    </row>
    <row r="203" spans="1:4">
      <c r="A203" s="10"/>
      <c r="B203" s="10"/>
      <c r="C203" s="10"/>
      <c r="D203" s="10"/>
    </row>
    <row r="204" spans="1:4">
      <c r="A204" s="10"/>
      <c r="B204" s="10"/>
      <c r="C204" s="10"/>
      <c r="D204" s="10"/>
    </row>
    <row r="205" spans="1:4">
      <c r="A205" s="10"/>
      <c r="B205" s="10"/>
      <c r="C205" s="10"/>
      <c r="D205" s="10"/>
    </row>
    <row r="206" spans="1:4">
      <c r="A206" s="10"/>
      <c r="B206" s="10"/>
      <c r="C206" s="10"/>
      <c r="D206" s="10"/>
    </row>
    <row r="207" spans="1:4">
      <c r="A207" s="10"/>
      <c r="B207" s="10"/>
      <c r="C207" s="10"/>
      <c r="D207" s="10"/>
    </row>
    <row r="208" spans="1:4">
      <c r="A208" s="10"/>
      <c r="B208" s="10"/>
      <c r="C208" s="10"/>
      <c r="D208" s="10"/>
    </row>
    <row r="209" spans="1:4">
      <c r="A209" s="10"/>
      <c r="B209" s="10"/>
      <c r="C209" s="10"/>
      <c r="D209" s="10"/>
    </row>
    <row r="210" spans="1:4">
      <c r="A210" s="10"/>
      <c r="B210" s="10"/>
      <c r="C210" s="10"/>
      <c r="D210" s="10"/>
    </row>
    <row r="211" spans="1:4">
      <c r="A211" s="10"/>
      <c r="B211" s="10"/>
      <c r="C211" s="10"/>
      <c r="D211" s="10"/>
    </row>
    <row r="212" spans="1:4">
      <c r="A212" s="10"/>
      <c r="B212" s="10"/>
      <c r="C212" s="10"/>
      <c r="D212" s="10"/>
    </row>
    <row r="213" spans="1:4">
      <c r="A213" s="10"/>
      <c r="B213" s="10"/>
      <c r="C213" s="10"/>
      <c r="D213" s="10"/>
    </row>
    <row r="214" spans="1:4">
      <c r="A214" s="10"/>
      <c r="B214" s="10"/>
      <c r="C214" s="10"/>
      <c r="D214" s="10"/>
    </row>
    <row r="215" spans="1:4">
      <c r="A215" s="10"/>
      <c r="B215" s="10"/>
      <c r="C215" s="10"/>
      <c r="D215" s="10"/>
    </row>
    <row r="216" spans="1:4">
      <c r="A216" s="10"/>
      <c r="B216" s="10"/>
      <c r="C216" s="10"/>
      <c r="D216" s="10"/>
    </row>
    <row r="217" spans="1:4">
      <c r="A217" s="10"/>
      <c r="B217" s="10"/>
      <c r="C217" s="10"/>
      <c r="D217" s="10"/>
    </row>
    <row r="218" spans="1:4">
      <c r="A218" s="10"/>
      <c r="B218" s="10"/>
      <c r="C218" s="10"/>
      <c r="D218" s="10"/>
    </row>
    <row r="219" spans="1:4">
      <c r="A219" s="10"/>
      <c r="B219" s="10"/>
      <c r="C219" s="10"/>
      <c r="D219" s="10"/>
    </row>
    <row r="220" spans="1:4">
      <c r="A220" s="10"/>
      <c r="B220" s="10"/>
      <c r="C220" s="10"/>
      <c r="D220" s="10"/>
    </row>
    <row r="221" spans="1:4">
      <c r="A221" s="10"/>
      <c r="B221" s="10"/>
      <c r="C221" s="10"/>
      <c r="D221" s="10"/>
    </row>
    <row r="222" spans="1:4">
      <c r="A222" s="10"/>
      <c r="B222" s="10"/>
      <c r="C222" s="10"/>
      <c r="D222" s="10"/>
    </row>
    <row r="223" spans="1:4">
      <c r="A223" s="10"/>
      <c r="B223" s="10"/>
      <c r="C223" s="10"/>
      <c r="D223" s="10"/>
    </row>
    <row r="224" spans="1:4">
      <c r="A224" s="10"/>
      <c r="B224" s="10"/>
      <c r="C224" s="10"/>
      <c r="D224" s="10"/>
    </row>
    <row r="225" spans="1:4">
      <c r="A225" s="10"/>
      <c r="B225" s="10"/>
      <c r="C225" s="10"/>
      <c r="D225" s="10"/>
    </row>
    <row r="226" spans="1:4">
      <c r="A226" s="10"/>
      <c r="B226" s="10"/>
      <c r="C226" s="10"/>
      <c r="D226" s="10"/>
    </row>
    <row r="227" spans="1:4">
      <c r="A227" s="10"/>
      <c r="B227" s="10"/>
      <c r="C227" s="10"/>
      <c r="D227" s="10"/>
    </row>
    <row r="228" spans="1:4">
      <c r="A228" s="10"/>
      <c r="B228" s="10"/>
      <c r="C228" s="10"/>
      <c r="D228" s="10"/>
    </row>
    <row r="229" spans="1:4">
      <c r="A229" s="10"/>
      <c r="B229" s="10"/>
      <c r="C229" s="10"/>
      <c r="D229" s="10"/>
    </row>
    <row r="230" spans="1:4">
      <c r="A230" s="10"/>
      <c r="B230" s="10"/>
      <c r="C230" s="10"/>
      <c r="D230" s="10"/>
    </row>
    <row r="231" spans="1:4">
      <c r="A231" s="10"/>
      <c r="B231" s="10"/>
      <c r="C231" s="10"/>
      <c r="D231" s="10"/>
    </row>
    <row r="232" spans="1:4">
      <c r="A232" s="10"/>
      <c r="B232" s="10"/>
      <c r="C232" s="10"/>
      <c r="D232" s="10"/>
    </row>
    <row r="233" spans="1:4">
      <c r="A233" s="10"/>
      <c r="B233" s="10"/>
      <c r="C233" s="10"/>
      <c r="D233" s="10"/>
    </row>
    <row r="234" spans="1:4">
      <c r="A234" s="10"/>
      <c r="B234" s="10"/>
      <c r="C234" s="10"/>
      <c r="D234" s="10"/>
    </row>
    <row r="235" spans="1:4">
      <c r="A235" s="10"/>
      <c r="B235" s="10"/>
      <c r="C235" s="10"/>
      <c r="D235" s="10"/>
    </row>
    <row r="236" spans="1:4">
      <c r="A236" s="10"/>
      <c r="B236" s="10"/>
      <c r="C236" s="10"/>
      <c r="D236" s="10"/>
    </row>
    <row r="237" spans="1:4">
      <c r="A237" s="10"/>
      <c r="B237" s="10"/>
      <c r="C237" s="10"/>
      <c r="D237" s="10"/>
    </row>
    <row r="238" spans="1:4">
      <c r="A238" s="10"/>
      <c r="B238" s="10"/>
      <c r="C238" s="10"/>
      <c r="D238" s="10"/>
    </row>
    <row r="239" spans="1:4">
      <c r="A239" s="10"/>
      <c r="B239" s="10"/>
      <c r="C239" s="10"/>
      <c r="D239" s="10"/>
    </row>
    <row r="240" spans="1:4">
      <c r="A240" s="10"/>
      <c r="B240" s="10"/>
      <c r="C240" s="10"/>
      <c r="D240" s="10"/>
    </row>
    <row r="241" spans="1:4">
      <c r="A241" s="10"/>
      <c r="B241" s="10"/>
      <c r="C241" s="10"/>
      <c r="D241" s="10"/>
    </row>
    <row r="242" spans="1:4">
      <c r="A242" s="10"/>
      <c r="B242" s="10"/>
      <c r="C242" s="10"/>
      <c r="D242" s="10"/>
    </row>
    <row r="243" spans="1:4">
      <c r="A243" s="10"/>
      <c r="B243" s="10"/>
      <c r="C243" s="10"/>
      <c r="D243" s="10"/>
    </row>
    <row r="244" spans="1:4">
      <c r="A244" s="10"/>
      <c r="B244" s="10"/>
      <c r="C244" s="10"/>
      <c r="D244" s="10"/>
    </row>
    <row r="245" spans="1:4">
      <c r="A245" s="10"/>
      <c r="B245" s="10"/>
      <c r="C245" s="10"/>
      <c r="D245" s="10"/>
    </row>
    <row r="246" spans="1:4">
      <c r="A246" s="10"/>
      <c r="B246" s="10"/>
      <c r="C246" s="10"/>
      <c r="D246" s="10"/>
    </row>
    <row r="247" spans="1:4">
      <c r="A247" s="10"/>
      <c r="B247" s="10"/>
      <c r="C247" s="10"/>
      <c r="D247" s="10"/>
    </row>
    <row r="248" spans="1:4">
      <c r="A248" s="10"/>
      <c r="B248" s="10"/>
      <c r="C248" s="10"/>
      <c r="D248" s="10"/>
    </row>
    <row r="249" spans="1:4">
      <c r="A249" s="10"/>
      <c r="B249" s="10"/>
      <c r="C249" s="10"/>
      <c r="D249" s="10"/>
    </row>
    <row r="250" spans="1:4">
      <c r="A250" s="10"/>
      <c r="B250" s="10"/>
      <c r="C250" s="10"/>
      <c r="D250" s="10"/>
    </row>
    <row r="251" spans="1:4">
      <c r="A251" s="10"/>
      <c r="B251" s="10"/>
      <c r="C251" s="10"/>
      <c r="D251" s="10"/>
    </row>
    <row r="252" spans="1:4">
      <c r="A252" s="10"/>
      <c r="B252" s="10"/>
      <c r="C252" s="10"/>
      <c r="D252" s="10"/>
    </row>
    <row r="253" spans="1:4">
      <c r="A253" s="10"/>
      <c r="B253" s="10"/>
      <c r="C253" s="10"/>
      <c r="D253" s="10"/>
    </row>
    <row r="254" spans="1:4">
      <c r="A254" s="10"/>
      <c r="B254" s="10"/>
      <c r="C254" s="10"/>
      <c r="D254" s="10"/>
    </row>
    <row r="255" spans="1:4">
      <c r="A255" s="10"/>
      <c r="B255" s="10"/>
      <c r="C255" s="10"/>
      <c r="D255" s="10"/>
    </row>
    <row r="256" spans="1:4">
      <c r="A256" s="10"/>
      <c r="B256" s="10"/>
      <c r="C256" s="10"/>
      <c r="D256" s="10"/>
    </row>
    <row r="257" spans="1:4">
      <c r="A257" s="10"/>
      <c r="B257" s="10"/>
      <c r="C257" s="10"/>
      <c r="D257" s="10"/>
    </row>
    <row r="258" spans="1:4">
      <c r="A258" s="10"/>
      <c r="B258" s="10"/>
      <c r="C258" s="10"/>
      <c r="D258" s="10"/>
    </row>
    <row r="259" spans="1:4">
      <c r="A259" s="10"/>
      <c r="B259" s="10"/>
      <c r="C259" s="10"/>
      <c r="D259" s="10"/>
    </row>
    <row r="260" spans="1:4">
      <c r="A260" s="10"/>
      <c r="B260" s="10"/>
      <c r="C260" s="10"/>
      <c r="D260" s="10"/>
    </row>
    <row r="261" spans="1:4">
      <c r="A261" s="10"/>
      <c r="B261" s="10"/>
      <c r="C261" s="10"/>
      <c r="D261" s="10"/>
    </row>
    <row r="262" spans="1:4">
      <c r="A262" s="10"/>
      <c r="B262" s="10"/>
      <c r="C262" s="10"/>
      <c r="D262" s="10"/>
    </row>
    <row r="263" spans="1:4">
      <c r="A263" s="10"/>
      <c r="B263" s="10"/>
      <c r="C263" s="10"/>
      <c r="D263" s="10"/>
    </row>
    <row r="264" spans="1:4">
      <c r="A264" s="10"/>
      <c r="B264" s="10"/>
      <c r="C264" s="10"/>
      <c r="D264" s="10"/>
    </row>
    <row r="265" spans="1:4">
      <c r="A265" s="10"/>
      <c r="B265" s="10"/>
      <c r="C265" s="10"/>
      <c r="D265" s="10"/>
    </row>
    <row r="266" spans="1:4">
      <c r="A266" s="10"/>
      <c r="B266" s="10"/>
      <c r="C266" s="10"/>
      <c r="D266" s="10"/>
    </row>
    <row r="267" spans="1:4">
      <c r="A267" s="10"/>
      <c r="B267" s="10"/>
      <c r="C267" s="10"/>
      <c r="D267" s="10"/>
    </row>
    <row r="268" spans="1:4">
      <c r="A268" s="10"/>
      <c r="B268" s="10"/>
      <c r="C268" s="10"/>
      <c r="D268" s="10"/>
    </row>
    <row r="269" spans="1:4">
      <c r="A269" s="10"/>
      <c r="B269" s="10"/>
      <c r="C269" s="10"/>
      <c r="D269" s="10"/>
    </row>
    <row r="270" spans="1:4">
      <c r="A270" s="10"/>
      <c r="B270" s="10"/>
      <c r="C270" s="10"/>
      <c r="D270" s="10"/>
    </row>
    <row r="271" spans="1:4">
      <c r="A271" s="10"/>
      <c r="B271" s="10"/>
      <c r="C271" s="10"/>
      <c r="D271" s="10"/>
    </row>
    <row r="272" spans="1:4">
      <c r="A272" s="10"/>
      <c r="B272" s="10"/>
      <c r="C272" s="10"/>
      <c r="D272" s="10"/>
    </row>
    <row r="273" spans="1:4">
      <c r="A273" s="10"/>
      <c r="B273" s="10"/>
      <c r="C273" s="10"/>
      <c r="D273" s="10"/>
    </row>
    <row r="274" spans="1:4">
      <c r="A274" s="10"/>
      <c r="B274" s="10"/>
      <c r="C274" s="10"/>
      <c r="D274" s="10"/>
    </row>
    <row r="275" spans="1:4">
      <c r="A275" s="10"/>
      <c r="B275" s="10"/>
      <c r="C275" s="10"/>
      <c r="D275" s="10"/>
    </row>
    <row r="276" spans="1:4">
      <c r="A276" s="10"/>
      <c r="B276" s="10"/>
      <c r="C276" s="10"/>
      <c r="D276" s="10"/>
    </row>
    <row r="277" spans="1:4">
      <c r="A277" s="10"/>
      <c r="B277" s="10"/>
      <c r="C277" s="10"/>
      <c r="D277" s="10"/>
    </row>
    <row r="278" spans="1:4">
      <c r="A278" s="10"/>
      <c r="B278" s="10"/>
      <c r="C278" s="10"/>
      <c r="D278" s="10"/>
    </row>
    <row r="279" spans="1:4">
      <c r="A279" s="10"/>
      <c r="B279" s="10"/>
      <c r="C279" s="10"/>
      <c r="D279" s="10"/>
    </row>
    <row r="280" spans="1:4">
      <c r="A280" s="10"/>
      <c r="B280" s="10"/>
      <c r="C280" s="10"/>
      <c r="D280" s="10"/>
    </row>
    <row r="281" spans="1:4">
      <c r="A281" s="10"/>
      <c r="B281" s="10"/>
      <c r="C281" s="10"/>
      <c r="D281" s="10"/>
    </row>
    <row r="282" spans="1:4">
      <c r="A282" s="10"/>
      <c r="B282" s="10"/>
      <c r="C282" s="10"/>
      <c r="D282" s="10"/>
    </row>
    <row r="283" spans="1:4">
      <c r="A283" s="10"/>
      <c r="B283" s="10"/>
      <c r="C283" s="10"/>
      <c r="D283" s="10"/>
    </row>
    <row r="284" spans="1:4">
      <c r="A284" s="10"/>
      <c r="B284" s="10"/>
      <c r="C284" s="10"/>
      <c r="D284" s="10"/>
    </row>
    <row r="285" spans="1:4">
      <c r="A285" s="10"/>
      <c r="B285" s="10"/>
      <c r="C285" s="10"/>
      <c r="D285" s="10"/>
    </row>
    <row r="286" spans="1:4">
      <c r="A286" s="10"/>
      <c r="B286" s="10"/>
      <c r="C286" s="10"/>
      <c r="D286" s="10"/>
    </row>
    <row r="287" spans="1:4">
      <c r="A287" s="10"/>
      <c r="B287" s="10"/>
      <c r="C287" s="10"/>
      <c r="D287" s="10"/>
    </row>
    <row r="288" spans="1:4">
      <c r="A288" s="10"/>
      <c r="B288" s="10"/>
      <c r="C288" s="10"/>
      <c r="D288" s="10"/>
    </row>
    <row r="289" spans="1:4">
      <c r="A289" s="10"/>
      <c r="B289" s="10"/>
      <c r="C289" s="10"/>
      <c r="D289" s="10"/>
    </row>
    <row r="290" spans="1:4">
      <c r="A290" s="10"/>
      <c r="B290" s="10"/>
      <c r="C290" s="10"/>
      <c r="D290" s="10"/>
    </row>
    <row r="291" spans="1:4">
      <c r="A291" s="10"/>
      <c r="B291" s="10"/>
      <c r="C291" s="10"/>
      <c r="D291" s="10"/>
    </row>
    <row r="292" spans="1:4">
      <c r="A292" s="10"/>
      <c r="B292" s="10"/>
      <c r="C292" s="10"/>
      <c r="D292" s="10"/>
    </row>
    <row r="293" spans="1:4">
      <c r="A293" s="10"/>
      <c r="B293" s="10"/>
      <c r="C293" s="10"/>
      <c r="D293" s="10"/>
    </row>
    <row r="294" spans="1:4">
      <c r="A294" s="10"/>
      <c r="B294" s="10"/>
      <c r="C294" s="10"/>
      <c r="D294" s="10"/>
    </row>
    <row r="295" spans="1:4">
      <c r="A295" s="10"/>
      <c r="B295" s="10"/>
      <c r="C295" s="10"/>
      <c r="D295" s="10"/>
    </row>
    <row r="296" spans="1:4">
      <c r="A296" s="10"/>
      <c r="B296" s="10"/>
      <c r="C296" s="10"/>
      <c r="D296" s="10"/>
    </row>
    <row r="297" spans="1:4">
      <c r="A297" s="10"/>
      <c r="B297" s="10"/>
      <c r="C297" s="10"/>
      <c r="D297" s="10"/>
    </row>
    <row r="298" spans="1:4">
      <c r="A298" s="10"/>
      <c r="B298" s="10"/>
      <c r="C298" s="10"/>
      <c r="D298" s="10"/>
    </row>
    <row r="299" spans="1:4">
      <c r="A299" s="10"/>
      <c r="B299" s="10"/>
      <c r="C299" s="10"/>
      <c r="D299" s="10"/>
    </row>
    <row r="300" spans="1:4">
      <c r="A300" s="10"/>
      <c r="B300" s="10"/>
      <c r="C300" s="10"/>
      <c r="D300" s="10"/>
    </row>
    <row r="301" spans="1:4">
      <c r="A301" s="10"/>
      <c r="B301" s="10"/>
      <c r="C301" s="10"/>
      <c r="D301" s="10"/>
    </row>
    <row r="302" spans="1:4">
      <c r="A302" s="10"/>
      <c r="B302" s="10"/>
      <c r="C302" s="10"/>
      <c r="D302" s="10"/>
    </row>
    <row r="303" spans="1:4">
      <c r="A303" s="10"/>
      <c r="B303" s="10"/>
      <c r="C303" s="10"/>
      <c r="D303" s="10"/>
    </row>
    <row r="304" spans="1:4">
      <c r="A304" s="10"/>
      <c r="B304" s="10"/>
      <c r="C304" s="10"/>
      <c r="D304" s="10"/>
    </row>
    <row r="305" spans="1:4">
      <c r="A305" s="10"/>
      <c r="B305" s="10"/>
      <c r="C305" s="10"/>
      <c r="D305" s="10"/>
    </row>
    <row r="306" spans="1:4">
      <c r="A306" s="10"/>
      <c r="B306" s="10"/>
      <c r="C306" s="10"/>
      <c r="D306" s="10"/>
    </row>
    <row r="307" spans="1:4">
      <c r="A307" s="10"/>
      <c r="B307" s="10"/>
      <c r="C307" s="10"/>
      <c r="D307" s="10"/>
    </row>
    <row r="308" spans="1:4">
      <c r="A308" s="10"/>
      <c r="B308" s="10"/>
      <c r="C308" s="10"/>
      <c r="D308" s="10"/>
    </row>
    <row r="309" spans="1:4">
      <c r="A309" s="10"/>
      <c r="B309" s="10"/>
      <c r="C309" s="10"/>
      <c r="D309" s="10"/>
    </row>
    <row r="310" spans="1:4">
      <c r="A310" s="10"/>
      <c r="B310" s="10"/>
      <c r="C310" s="10"/>
      <c r="D310" s="10"/>
    </row>
    <row r="311" spans="1:4">
      <c r="A311" s="10"/>
      <c r="B311" s="10"/>
      <c r="C311" s="10"/>
      <c r="D311" s="10"/>
    </row>
    <row r="312" spans="1:4">
      <c r="A312" s="10"/>
      <c r="B312" s="10"/>
      <c r="C312" s="10"/>
      <c r="D312" s="10"/>
    </row>
    <row r="313" spans="1:4">
      <c r="A313" s="10"/>
      <c r="B313" s="10"/>
      <c r="C313" s="10"/>
      <c r="D313" s="10"/>
    </row>
    <row r="314" spans="1:4">
      <c r="A314" s="10"/>
      <c r="B314" s="10"/>
      <c r="C314" s="10"/>
      <c r="D314" s="10"/>
    </row>
    <row r="315" spans="1:4">
      <c r="A315" s="10"/>
      <c r="B315" s="10"/>
      <c r="C315" s="10"/>
      <c r="D315" s="10"/>
    </row>
    <row r="316" spans="1:4">
      <c r="A316" s="10"/>
      <c r="B316" s="10"/>
      <c r="C316" s="10"/>
      <c r="D316" s="10"/>
    </row>
    <row r="317" spans="1:4">
      <c r="A317" s="10"/>
      <c r="B317" s="10"/>
      <c r="C317" s="10"/>
      <c r="D317" s="10"/>
    </row>
    <row r="318" spans="1:4">
      <c r="A318" s="10"/>
      <c r="B318" s="10"/>
      <c r="C318" s="10"/>
      <c r="D318" s="10"/>
    </row>
    <row r="319" spans="1:4">
      <c r="A319" s="10"/>
      <c r="B319" s="10"/>
      <c r="C319" s="10"/>
      <c r="D319" s="10"/>
    </row>
    <row r="320" spans="1:4">
      <c r="A320" s="10"/>
      <c r="B320" s="10"/>
      <c r="C320" s="10"/>
      <c r="D320" s="10"/>
    </row>
    <row r="321" spans="1:4">
      <c r="A321" s="10"/>
      <c r="B321" s="10"/>
      <c r="C321" s="10"/>
      <c r="D321" s="10"/>
    </row>
    <row r="322" spans="1:4">
      <c r="A322" s="10"/>
      <c r="B322" s="10"/>
      <c r="C322" s="10"/>
      <c r="D322" s="10"/>
    </row>
    <row r="323" spans="1:4">
      <c r="A323" s="10"/>
      <c r="B323" s="10"/>
      <c r="C323" s="10"/>
      <c r="D323" s="10"/>
    </row>
    <row r="324" spans="1:4">
      <c r="A324" s="10"/>
      <c r="B324" s="10"/>
      <c r="C324" s="10"/>
      <c r="D324" s="10"/>
    </row>
    <row r="325" spans="1:4">
      <c r="A325" s="10"/>
      <c r="B325" s="10"/>
      <c r="C325" s="10"/>
      <c r="D325" s="10"/>
    </row>
    <row r="326" spans="1:4">
      <c r="A326" s="10"/>
      <c r="B326" s="10"/>
      <c r="C326" s="10"/>
      <c r="D326" s="10"/>
    </row>
    <row r="327" spans="1:4">
      <c r="A327" s="10"/>
      <c r="B327" s="10"/>
      <c r="C327" s="10"/>
      <c r="D327" s="10"/>
    </row>
    <row r="328" spans="1:4">
      <c r="A328" s="10"/>
      <c r="B328" s="10"/>
      <c r="C328" s="10"/>
      <c r="D328" s="10"/>
    </row>
    <row r="329" spans="1:4">
      <c r="A329" s="10"/>
      <c r="B329" s="10"/>
      <c r="C329" s="10"/>
      <c r="D329" s="10"/>
    </row>
    <row r="330" spans="1:4">
      <c r="A330" s="10"/>
      <c r="B330" s="10"/>
      <c r="C330" s="10"/>
      <c r="D330" s="10"/>
    </row>
    <row r="331" spans="1:4">
      <c r="A331" s="10"/>
      <c r="B331" s="10"/>
      <c r="C331" s="10"/>
      <c r="D331" s="10"/>
    </row>
    <row r="332" spans="1:4">
      <c r="A332" s="10"/>
      <c r="B332" s="10"/>
      <c r="C332" s="10"/>
      <c r="D332" s="10"/>
    </row>
    <row r="333" spans="1:4">
      <c r="A333" s="10"/>
      <c r="B333" s="10"/>
      <c r="C333" s="10"/>
      <c r="D333" s="10"/>
    </row>
    <row r="334" spans="1:4">
      <c r="A334" s="10"/>
      <c r="B334" s="10"/>
      <c r="C334" s="10"/>
      <c r="D334" s="10"/>
    </row>
    <row r="335" spans="1:4">
      <c r="A335" s="10"/>
      <c r="B335" s="10"/>
      <c r="C335" s="10"/>
      <c r="D335" s="10"/>
    </row>
    <row r="336" spans="1:4">
      <c r="A336" s="10"/>
      <c r="B336" s="10"/>
      <c r="C336" s="10"/>
      <c r="D336" s="10"/>
    </row>
    <row r="337" spans="1:4">
      <c r="A337" s="10"/>
      <c r="B337" s="10"/>
      <c r="C337" s="10"/>
      <c r="D337" s="10"/>
    </row>
    <row r="338" spans="1:4">
      <c r="A338" s="10"/>
      <c r="B338" s="10"/>
      <c r="C338" s="10"/>
      <c r="D338" s="10"/>
    </row>
    <row r="339" spans="1:4">
      <c r="A339" s="10"/>
      <c r="B339" s="10"/>
      <c r="C339" s="10"/>
      <c r="D339" s="10"/>
    </row>
    <row r="340" spans="1:4">
      <c r="A340" s="10"/>
      <c r="B340" s="10"/>
      <c r="C340" s="10"/>
      <c r="D340" s="10"/>
    </row>
    <row r="341" spans="1:4">
      <c r="A341" s="10"/>
      <c r="B341" s="10"/>
      <c r="C341" s="10"/>
      <c r="D341" s="10"/>
    </row>
    <row r="342" spans="1:4">
      <c r="A342" s="10"/>
      <c r="B342" s="10"/>
      <c r="C342" s="10"/>
      <c r="D342" s="10"/>
    </row>
    <row r="343" spans="1:4">
      <c r="A343" s="10"/>
      <c r="B343" s="10"/>
      <c r="C343" s="10"/>
      <c r="D343" s="10"/>
    </row>
    <row r="344" spans="1:4">
      <c r="A344" s="10"/>
      <c r="B344" s="10"/>
      <c r="C344" s="10"/>
      <c r="D344" s="10"/>
    </row>
    <row r="345" spans="1:4">
      <c r="A345" s="10"/>
      <c r="B345" s="10"/>
      <c r="C345" s="10"/>
      <c r="D345" s="10"/>
    </row>
    <row r="346" spans="1:4">
      <c r="A346" s="10"/>
      <c r="B346" s="10"/>
      <c r="C346" s="10"/>
      <c r="D346" s="10"/>
    </row>
    <row r="347" spans="1:4">
      <c r="A347" s="10"/>
      <c r="B347" s="10"/>
      <c r="C347" s="10"/>
      <c r="D347" s="10"/>
    </row>
    <row r="348" spans="1:4">
      <c r="A348" s="10"/>
      <c r="B348" s="10"/>
      <c r="C348" s="10"/>
      <c r="D348" s="10"/>
    </row>
    <row r="349" spans="1:4">
      <c r="A349" s="10"/>
      <c r="B349" s="10"/>
      <c r="C349" s="10"/>
      <c r="D349" s="10"/>
    </row>
    <row r="350" spans="1:4">
      <c r="A350" s="10"/>
      <c r="B350" s="10"/>
      <c r="C350" s="10"/>
      <c r="D350" s="10"/>
    </row>
    <row r="351" spans="1:4">
      <c r="A351" s="10"/>
      <c r="B351" s="10"/>
      <c r="C351" s="10"/>
      <c r="D351" s="10"/>
    </row>
    <row r="352" spans="1:4">
      <c r="A352" s="10"/>
      <c r="B352" s="10"/>
      <c r="C352" s="10"/>
      <c r="D352" s="10"/>
    </row>
    <row r="353" spans="1:4">
      <c r="A353" s="10"/>
      <c r="B353" s="10"/>
      <c r="C353" s="10"/>
      <c r="D353" s="10"/>
    </row>
    <row r="354" spans="1:4">
      <c r="A354" s="10"/>
      <c r="B354" s="10"/>
      <c r="C354" s="10"/>
      <c r="D354" s="10"/>
    </row>
    <row r="355" spans="1:4">
      <c r="A355" s="10"/>
      <c r="B355" s="10"/>
      <c r="C355" s="10"/>
      <c r="D355" s="10"/>
    </row>
    <row r="356" spans="1:4">
      <c r="A356" s="10"/>
      <c r="B356" s="10"/>
      <c r="C356" s="10"/>
      <c r="D356" s="10"/>
    </row>
    <row r="357" spans="1:4">
      <c r="A357" s="10"/>
      <c r="B357" s="10"/>
      <c r="C357" s="10"/>
      <c r="D357" s="10"/>
    </row>
    <row r="358" spans="1:4">
      <c r="A358" s="10"/>
      <c r="B358" s="10"/>
      <c r="C358" s="10"/>
      <c r="D358" s="10"/>
    </row>
    <row r="359" spans="1:4">
      <c r="A359" s="10"/>
      <c r="B359" s="10"/>
      <c r="C359" s="10"/>
      <c r="D359" s="10"/>
    </row>
    <row r="360" spans="1:4">
      <c r="A360" s="10"/>
      <c r="B360" s="10"/>
      <c r="C360" s="10"/>
      <c r="D360" s="10"/>
    </row>
    <row r="361" spans="1:4">
      <c r="A361" s="10"/>
      <c r="B361" s="10"/>
      <c r="C361" s="10"/>
      <c r="D361" s="10"/>
    </row>
    <row r="362" spans="1:4">
      <c r="A362" s="10"/>
      <c r="B362" s="10"/>
      <c r="C362" s="10"/>
      <c r="D362" s="10"/>
    </row>
    <row r="363" spans="1:4">
      <c r="A363" s="10"/>
      <c r="B363" s="10"/>
      <c r="C363" s="10"/>
      <c r="D363" s="10"/>
    </row>
    <row r="364" spans="1:4">
      <c r="A364" s="10"/>
      <c r="B364" s="10"/>
      <c r="C364" s="10"/>
      <c r="D364" s="10"/>
    </row>
    <row r="365" spans="1:4">
      <c r="A365" s="10"/>
      <c r="B365" s="10"/>
      <c r="C365" s="10"/>
      <c r="D365" s="10"/>
    </row>
    <row r="366" spans="1:4">
      <c r="A366" s="10"/>
      <c r="B366" s="10"/>
      <c r="C366" s="10"/>
      <c r="D366" s="10"/>
    </row>
    <row r="367" spans="1:4">
      <c r="A367" s="10"/>
      <c r="B367" s="10"/>
      <c r="C367" s="10"/>
      <c r="D367" s="10"/>
    </row>
    <row r="368" spans="1:4">
      <c r="A368" s="10"/>
      <c r="B368" s="10"/>
      <c r="C368" s="10"/>
      <c r="D368" s="10"/>
    </row>
    <row r="369" spans="1:4">
      <c r="A369" s="10"/>
      <c r="B369" s="10"/>
      <c r="C369" s="10"/>
      <c r="D369" s="10"/>
    </row>
    <row r="370" spans="1:4">
      <c r="A370" s="10"/>
      <c r="B370" s="10"/>
      <c r="C370" s="10"/>
      <c r="D370" s="10"/>
    </row>
    <row r="371" spans="1:4">
      <c r="A371" s="10"/>
      <c r="B371" s="10"/>
      <c r="C371" s="10"/>
      <c r="D371" s="10"/>
    </row>
    <row r="372" spans="1:4">
      <c r="A372" s="10"/>
      <c r="B372" s="10"/>
      <c r="C372" s="10"/>
      <c r="D372" s="10"/>
    </row>
    <row r="373" spans="1:4">
      <c r="A373" s="10"/>
      <c r="B373" s="10"/>
      <c r="C373" s="10"/>
      <c r="D373" s="10"/>
    </row>
    <row r="374" spans="1:4">
      <c r="A374" s="10"/>
      <c r="B374" s="10"/>
      <c r="C374" s="10"/>
      <c r="D374" s="10"/>
    </row>
    <row r="375" spans="1:4">
      <c r="A375" s="10"/>
      <c r="B375" s="10"/>
      <c r="C375" s="10"/>
      <c r="D375" s="10"/>
    </row>
    <row r="376" spans="1:4">
      <c r="A376" s="10"/>
      <c r="B376" s="10"/>
      <c r="C376" s="10"/>
      <c r="D376" s="10"/>
    </row>
    <row r="377" spans="1:4">
      <c r="A377" s="10"/>
      <c r="B377" s="10"/>
      <c r="C377" s="10"/>
      <c r="D377" s="10"/>
    </row>
    <row r="378" spans="1:4">
      <c r="A378" s="10"/>
      <c r="B378" s="10"/>
      <c r="C378" s="10"/>
      <c r="D378" s="10"/>
    </row>
    <row r="379" spans="1:4">
      <c r="A379" s="10"/>
      <c r="B379" s="10"/>
      <c r="C379" s="10"/>
      <c r="D379" s="10"/>
    </row>
    <row r="380" spans="1:4">
      <c r="A380" s="10"/>
      <c r="B380" s="10"/>
      <c r="C380" s="10"/>
      <c r="D380" s="10"/>
    </row>
    <row r="381" spans="1:4">
      <c r="A381" s="10"/>
      <c r="B381" s="10"/>
      <c r="C381" s="10"/>
      <c r="D381" s="10"/>
    </row>
    <row r="382" spans="1:4">
      <c r="A382" s="10"/>
      <c r="B382" s="10"/>
      <c r="C382" s="10"/>
      <c r="D382" s="10"/>
    </row>
    <row r="383" spans="1:4">
      <c r="A383" s="10"/>
      <c r="B383" s="10"/>
      <c r="C383" s="10"/>
      <c r="D383" s="10"/>
    </row>
    <row r="384" spans="1:4">
      <c r="A384" s="10"/>
      <c r="B384" s="10"/>
      <c r="C384" s="10"/>
      <c r="D384" s="10"/>
    </row>
    <row r="385" spans="1:4">
      <c r="A385" s="10"/>
      <c r="B385" s="10"/>
      <c r="C385" s="10"/>
      <c r="D385" s="10"/>
    </row>
    <row r="386" spans="1:4">
      <c r="A386" s="10"/>
      <c r="B386" s="10"/>
      <c r="C386" s="10"/>
      <c r="D386" s="10"/>
    </row>
    <row r="387" spans="1:4">
      <c r="A387" s="10"/>
      <c r="B387" s="10"/>
      <c r="C387" s="10"/>
      <c r="D387" s="10"/>
    </row>
    <row r="388" spans="1:4">
      <c r="A388" s="10"/>
      <c r="B388" s="10"/>
      <c r="C388" s="10"/>
      <c r="D388" s="10"/>
    </row>
    <row r="389" spans="1:4">
      <c r="A389" s="10"/>
      <c r="B389" s="10"/>
      <c r="C389" s="10"/>
      <c r="D389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U389"/>
  <sheetViews>
    <sheetView zoomScale="120" zoomScaleNormal="120" workbookViewId="0">
      <selection activeCell="M20" sqref="M20"/>
    </sheetView>
  </sheetViews>
  <sheetFormatPr defaultColWidth="9.109375" defaultRowHeight="14.4"/>
  <cols>
    <col min="1" max="1" width="46.5546875" style="1" bestFit="1" customWidth="1"/>
    <col min="2" max="4" width="11.88671875" style="1" customWidth="1"/>
    <col min="5" max="5" width="11.5546875" style="1" bestFit="1" customWidth="1"/>
    <col min="6" max="9" width="11.5546875" style="1" customWidth="1"/>
    <col min="10" max="10" width="11" style="1" customWidth="1"/>
    <col min="11" max="14" width="11.5546875" style="1" customWidth="1"/>
    <col min="15" max="20" width="9.109375" style="1"/>
    <col min="21" max="21" width="9.88671875" style="1" customWidth="1"/>
    <col min="22" max="16384" width="9.109375" style="1"/>
  </cols>
  <sheetData>
    <row r="1" spans="1:14">
      <c r="A1" s="17" t="s">
        <v>6</v>
      </c>
      <c r="B1" s="56"/>
    </row>
    <row r="2" spans="1:14">
      <c r="B2" s="49"/>
    </row>
    <row r="3" spans="1:14" ht="16.2">
      <c r="A3" s="19" t="s">
        <v>13</v>
      </c>
      <c r="B3" s="21">
        <v>1.3806490000000001E-23</v>
      </c>
      <c r="C3" s="17" t="s">
        <v>14</v>
      </c>
    </row>
    <row r="4" spans="1:14" ht="16.8">
      <c r="A4" s="19" t="s">
        <v>19</v>
      </c>
      <c r="B4" s="21">
        <v>6.0221407599999999E+23</v>
      </c>
      <c r="C4" s="17" t="s">
        <v>18</v>
      </c>
      <c r="K4" s="45"/>
      <c r="M4" s="55"/>
    </row>
    <row r="5" spans="1:14" ht="16.2">
      <c r="A5" s="19" t="s">
        <v>12</v>
      </c>
      <c r="B5" s="4">
        <v>8.3144626181532395</v>
      </c>
      <c r="C5" s="1" t="s">
        <v>0</v>
      </c>
    </row>
    <row r="6" spans="1:14">
      <c r="A6" s="3" t="s">
        <v>1</v>
      </c>
      <c r="B6" s="10">
        <v>233.15</v>
      </c>
      <c r="C6" s="1" t="s">
        <v>2</v>
      </c>
      <c r="J6" s="14"/>
      <c r="K6" s="14"/>
      <c r="L6" s="55"/>
      <c r="M6" s="55"/>
    </row>
    <row r="7" spans="1:14">
      <c r="A7" s="70" t="s">
        <v>85</v>
      </c>
      <c r="B7" s="4">
        <v>0.40200000000000002</v>
      </c>
      <c r="E7" s="14"/>
      <c r="F7" s="14"/>
      <c r="G7" s="14"/>
      <c r="H7" s="14"/>
      <c r="I7" s="14"/>
    </row>
    <row r="8" spans="1:14" ht="16.2">
      <c r="A8" s="58" t="s">
        <v>16</v>
      </c>
      <c r="B8" s="13">
        <f>6*B7/(SUMPRODUCT(B15:D15,B16:D16,B19:D19^3)*PI())</f>
        <v>9.5104120594613761E-3</v>
      </c>
      <c r="C8" s="17" t="s">
        <v>11</v>
      </c>
      <c r="L8" s="50"/>
    </row>
    <row r="9" spans="1:14" ht="16.2">
      <c r="A9" s="19" t="s">
        <v>17</v>
      </c>
      <c r="B9" s="51">
        <f>B4*10^-30/B8</f>
        <v>6.3321554548300657E-5</v>
      </c>
      <c r="C9" s="20" t="s">
        <v>15</v>
      </c>
      <c r="E9" s="14"/>
      <c r="F9" s="14"/>
      <c r="G9" s="14"/>
      <c r="H9" s="14"/>
      <c r="I9" s="14"/>
      <c r="K9" s="14"/>
    </row>
    <row r="10" spans="1:14">
      <c r="A10" s="3"/>
      <c r="B10" s="5"/>
    </row>
    <row r="11" spans="1:14">
      <c r="A11" s="26" t="s">
        <v>30</v>
      </c>
      <c r="B11" s="5"/>
      <c r="F11" s="57" t="s">
        <v>67</v>
      </c>
      <c r="K11" s="67" t="s">
        <v>80</v>
      </c>
    </row>
    <row r="12" spans="1:14">
      <c r="A12" s="3"/>
      <c r="B12" s="4"/>
    </row>
    <row r="13" spans="1:14" ht="15.6">
      <c r="A13" s="7" t="s">
        <v>4</v>
      </c>
      <c r="B13" s="71" t="s">
        <v>86</v>
      </c>
      <c r="C13" s="72" t="s">
        <v>87</v>
      </c>
      <c r="D13" s="72" t="s">
        <v>88</v>
      </c>
      <c r="F13" s="6" t="s">
        <v>89</v>
      </c>
      <c r="L13" s="58" t="s">
        <v>76</v>
      </c>
      <c r="M13" s="59">
        <v>1E-4</v>
      </c>
    </row>
    <row r="14" spans="1:14">
      <c r="A14" s="18" t="s">
        <v>8</v>
      </c>
      <c r="B14" s="2">
        <v>1</v>
      </c>
      <c r="C14" s="2">
        <v>2</v>
      </c>
      <c r="D14" s="2">
        <v>3</v>
      </c>
      <c r="F14" s="7" t="s">
        <v>3</v>
      </c>
      <c r="G14" s="8">
        <v>1</v>
      </c>
      <c r="H14" s="8">
        <v>2</v>
      </c>
      <c r="I14" s="8">
        <v>3</v>
      </c>
      <c r="L14" s="58" t="s">
        <v>71</v>
      </c>
      <c r="M14" s="59">
        <f>M13*B7</f>
        <v>4.0200000000000001E-5</v>
      </c>
    </row>
    <row r="15" spans="1:14" ht="15.6">
      <c r="A15" s="18" t="s">
        <v>9</v>
      </c>
      <c r="B15" s="12">
        <v>0.1</v>
      </c>
      <c r="C15" s="12">
        <v>0.3</v>
      </c>
      <c r="D15" s="12">
        <v>0.6</v>
      </c>
      <c r="F15" s="9">
        <v>1</v>
      </c>
      <c r="G15" s="13">
        <v>0</v>
      </c>
      <c r="H15" s="13">
        <f>G16</f>
        <v>2.9999999999999997E-4</v>
      </c>
      <c r="I15" s="13">
        <f>G17</f>
        <v>1.15E-2</v>
      </c>
    </row>
    <row r="16" spans="1:14" ht="15.6">
      <c r="A16" s="18" t="s">
        <v>7</v>
      </c>
      <c r="B16" s="12">
        <v>1</v>
      </c>
      <c r="C16" s="12">
        <v>1.6069</v>
      </c>
      <c r="D16" s="12">
        <v>2.0019999999999998</v>
      </c>
      <c r="F16" s="9">
        <v>2</v>
      </c>
      <c r="G16" s="13">
        <v>2.9999999999999997E-4</v>
      </c>
      <c r="H16" s="13">
        <v>0</v>
      </c>
      <c r="I16" s="13">
        <f>H17</f>
        <v>5.1000000000000004E-3</v>
      </c>
      <c r="J16" s="15"/>
      <c r="K16" s="61" t="s">
        <v>70</v>
      </c>
      <c r="L16" s="30" t="s">
        <v>68</v>
      </c>
      <c r="M16" s="30" t="s">
        <v>69</v>
      </c>
      <c r="N16" s="29"/>
    </row>
    <row r="17" spans="1:21" ht="15.6">
      <c r="A17" s="18" t="s">
        <v>10</v>
      </c>
      <c r="B17" s="12">
        <v>3.7039</v>
      </c>
      <c r="C17" s="12">
        <v>3.5206</v>
      </c>
      <c r="D17" s="12">
        <v>3.6183999999999998</v>
      </c>
      <c r="F17" s="9">
        <v>3</v>
      </c>
      <c r="G17" s="13">
        <v>1.15E-2</v>
      </c>
      <c r="H17" s="13">
        <v>5.1000000000000004E-3</v>
      </c>
      <c r="I17" s="13">
        <v>0</v>
      </c>
      <c r="K17" s="62" t="s">
        <v>72</v>
      </c>
      <c r="L17" s="63">
        <f>B7-2*M14</f>
        <v>0.40191960000000004</v>
      </c>
      <c r="M17" s="77">
        <f>6*L17/(SUMPRODUCT(B15:D15,B16:D16,B19:D19^3)*PI())</f>
        <v>9.5085099770494848E-3</v>
      </c>
      <c r="N17" s="75">
        <f>PCSAFTA(B6,M17,B15:D15,B16:D16,B17:D17,B18:D18,G15:I17)</f>
        <v>-3.5738395896868553</v>
      </c>
    </row>
    <row r="18" spans="1:21" ht="15.6">
      <c r="A18" s="18" t="s">
        <v>21</v>
      </c>
      <c r="B18" s="2">
        <v>150.03</v>
      </c>
      <c r="C18" s="2">
        <v>191.42</v>
      </c>
      <c r="D18" s="2">
        <v>208.11</v>
      </c>
      <c r="J18" s="15"/>
      <c r="K18" s="60" t="s">
        <v>73</v>
      </c>
      <c r="L18" s="64">
        <f>B7-M14</f>
        <v>0.40195980000000003</v>
      </c>
      <c r="M18" s="78">
        <f>6*L18/(SUMPRODUCT(B15:D15,B16:D16,B19:D19^3)*PI())</f>
        <v>9.5094610182554322E-3</v>
      </c>
      <c r="N18" s="76">
        <f>PCSAFTA(B6,M18,B15:D15,B16:D16,B17:D17,B18:D18,G15:I17)</f>
        <v>-3.5737758661964021</v>
      </c>
    </row>
    <row r="19" spans="1:21" ht="15.6">
      <c r="A19" s="18" t="s">
        <v>20</v>
      </c>
      <c r="B19" s="12">
        <f>B17*(1-0.12*EXP(-3*B18/$B6))</f>
        <v>3.6394168391548423</v>
      </c>
      <c r="C19" s="12">
        <f>C17*(1-0.12*EXP(-3*C18/$B6))</f>
        <v>3.484616027410032</v>
      </c>
      <c r="D19" s="12">
        <f>D17*(1-0.12*EXP(-3*D18/$B6))</f>
        <v>3.5885638814010004</v>
      </c>
      <c r="E19" s="55"/>
      <c r="F19" s="55"/>
      <c r="G19" s="55"/>
      <c r="H19" s="55"/>
      <c r="I19" s="55"/>
      <c r="K19" s="60" t="s">
        <v>74</v>
      </c>
      <c r="L19" s="64">
        <f>B7+M14</f>
        <v>0.40204020000000001</v>
      </c>
      <c r="M19" s="78">
        <f>6*L19/(SUMPRODUCT(B15:D15,B16:D16,B19:D19^3)*PI())</f>
        <v>9.5113631006673218E-3</v>
      </c>
      <c r="N19" s="76">
        <f>PCSAFTA(B6,M19,B15:D15,B16:D16,B17:D17,B18:D18,G15:I17)</f>
        <v>-3.5736477667323436</v>
      </c>
    </row>
    <row r="20" spans="1:21">
      <c r="A20" s="22"/>
      <c r="B20" s="12"/>
      <c r="C20" s="12"/>
      <c r="D20" s="12"/>
      <c r="E20" s="50"/>
      <c r="F20" s="50"/>
      <c r="G20" s="50"/>
      <c r="H20" s="50"/>
      <c r="I20" s="50"/>
      <c r="J20" s="14"/>
      <c r="K20" s="60" t="s">
        <v>75</v>
      </c>
      <c r="L20" s="64">
        <f>B7+2*M14</f>
        <v>0.4020804</v>
      </c>
      <c r="M20" s="78">
        <f>6*L20/(SUMPRODUCT(B15:D15,B16:D16,B19:D19^3)*PI())</f>
        <v>9.5123141418732692E-3</v>
      </c>
      <c r="N20" s="76">
        <f>PCSAFTA(B6,M20,B15:D15,B16:D16,B17:D17,B18:D18,G15:I17)</f>
        <v>-3.5735833905988157</v>
      </c>
    </row>
    <row r="21" spans="1:21">
      <c r="A21" s="41"/>
      <c r="B21" s="12"/>
      <c r="C21" s="12"/>
      <c r="D21" s="12"/>
      <c r="E21" s="14"/>
      <c r="F21" s="14"/>
      <c r="G21" s="14"/>
      <c r="H21" s="14"/>
      <c r="I21" s="14"/>
    </row>
    <row r="22" spans="1:21">
      <c r="B22" s="42"/>
      <c r="C22" s="42"/>
      <c r="D22" s="42"/>
    </row>
    <row r="23" spans="1:21">
      <c r="B23" s="12"/>
      <c r="C23" s="12"/>
      <c r="D23" s="12"/>
      <c r="E23" s="50"/>
      <c r="F23" s="50"/>
      <c r="G23" s="50"/>
      <c r="H23" s="50"/>
      <c r="I23" s="50"/>
      <c r="N23" s="1">
        <f>(-N20+8*N19-8*N18+N17)/(12*M14)</f>
        <v>1.5932765846369241</v>
      </c>
      <c r="U23" s="85" t="s">
        <v>110</v>
      </c>
    </row>
    <row r="24" spans="1:21">
      <c r="A24" s="2"/>
      <c r="B24" s="14"/>
      <c r="C24" s="14"/>
      <c r="D24" s="14"/>
      <c r="E24" s="24"/>
      <c r="F24" s="24"/>
      <c r="G24" s="24"/>
      <c r="H24" s="24"/>
      <c r="I24" s="24"/>
    </row>
    <row r="25" spans="1:21">
      <c r="E25" s="24"/>
      <c r="F25" s="24"/>
      <c r="G25" s="24"/>
      <c r="H25" s="24"/>
      <c r="I25" s="24"/>
    </row>
    <row r="26" spans="1:21">
      <c r="N26" s="1">
        <f>1+N23*B7</f>
        <v>1.6404971870240437</v>
      </c>
      <c r="O26" s="65" t="s">
        <v>77</v>
      </c>
    </row>
    <row r="27" spans="1:21">
      <c r="A27" s="2"/>
      <c r="F27" s="2"/>
      <c r="G27" s="2"/>
      <c r="H27" s="2"/>
      <c r="I27" s="2"/>
      <c r="J27" s="46"/>
      <c r="K27" s="46"/>
      <c r="L27" s="46"/>
    </row>
    <row r="28" spans="1:21">
      <c r="F28" s="13"/>
      <c r="G28" s="13"/>
      <c r="H28" s="13"/>
      <c r="I28" s="13"/>
      <c r="J28" s="13"/>
      <c r="K28" s="13"/>
      <c r="L28" s="13"/>
    </row>
    <row r="29" spans="1:21">
      <c r="F29" s="13"/>
      <c r="G29" s="13"/>
      <c r="H29" s="13"/>
      <c r="I29" s="13"/>
      <c r="J29" s="13"/>
      <c r="K29" s="13"/>
      <c r="L29" s="13"/>
    </row>
    <row r="30" spans="1:21">
      <c r="F30" s="13"/>
      <c r="G30" s="13"/>
      <c r="H30" s="13"/>
      <c r="I30" s="13"/>
      <c r="J30" s="13"/>
      <c r="K30" s="13"/>
      <c r="L30" s="13"/>
      <c r="M30" s="14"/>
      <c r="N30" s="14"/>
    </row>
    <row r="31" spans="1:21" s="14" customFormat="1">
      <c r="A31" s="10"/>
      <c r="B31" s="2"/>
      <c r="C31" s="28"/>
      <c r="D31" s="28"/>
      <c r="E31" s="28"/>
      <c r="F31" s="28"/>
      <c r="G31" s="28"/>
      <c r="H31" s="28"/>
      <c r="I31" s="28"/>
      <c r="J31" s="1"/>
      <c r="K31" s="1"/>
      <c r="L31" s="1"/>
      <c r="M31" s="1"/>
      <c r="N31" s="1"/>
    </row>
    <row r="32" spans="1:21">
      <c r="A32" s="10"/>
      <c r="B32" s="2"/>
      <c r="C32" s="28"/>
      <c r="D32" s="28"/>
      <c r="E32" s="28"/>
      <c r="F32" s="28"/>
      <c r="G32" s="28"/>
      <c r="H32" s="28"/>
      <c r="I32" s="28"/>
    </row>
    <row r="33" spans="1:12">
      <c r="A33" s="10"/>
      <c r="B33" s="2"/>
      <c r="C33" s="28"/>
      <c r="D33" s="28"/>
      <c r="E33" s="28"/>
      <c r="F33" s="28"/>
      <c r="G33" s="28"/>
      <c r="H33" s="28"/>
      <c r="I33" s="28"/>
      <c r="J33" s="13"/>
      <c r="K33" s="13"/>
      <c r="L33" s="13"/>
    </row>
    <row r="34" spans="1:12">
      <c r="A34" s="10"/>
      <c r="B34" s="2"/>
      <c r="C34" s="28"/>
      <c r="D34" s="28"/>
      <c r="E34" s="28"/>
      <c r="F34" s="28"/>
      <c r="G34" s="28"/>
      <c r="H34" s="28"/>
      <c r="I34" s="28"/>
      <c r="J34" s="13"/>
      <c r="K34" s="13"/>
      <c r="L34" s="13"/>
    </row>
    <row r="35" spans="1:12">
      <c r="A35" s="10"/>
      <c r="B35" s="2"/>
      <c r="C35" s="28"/>
      <c r="D35" s="28"/>
      <c r="E35" s="28"/>
      <c r="F35" s="28"/>
      <c r="G35" s="28"/>
      <c r="H35" s="28"/>
      <c r="I35" s="28"/>
      <c r="J35" s="13"/>
      <c r="K35" s="13"/>
      <c r="L35" s="13"/>
    </row>
    <row r="36" spans="1:12">
      <c r="A36" s="10"/>
      <c r="B36" s="10"/>
      <c r="C36" s="10"/>
      <c r="D36" s="10"/>
      <c r="J36" s="13"/>
      <c r="K36" s="13"/>
      <c r="L36" s="13"/>
    </row>
    <row r="37" spans="1:12">
      <c r="A37" s="10"/>
      <c r="B37" s="10"/>
      <c r="C37" s="40"/>
      <c r="D37" s="40"/>
      <c r="E37" s="40"/>
      <c r="F37" s="40"/>
      <c r="G37" s="40"/>
      <c r="H37" s="40"/>
      <c r="I37" s="40"/>
    </row>
    <row r="38" spans="1:12">
      <c r="A38" s="10"/>
      <c r="B38" s="10"/>
      <c r="C38" s="40"/>
      <c r="D38" s="40"/>
      <c r="E38" s="40"/>
      <c r="F38" s="40"/>
      <c r="G38" s="40"/>
      <c r="H38" s="40"/>
      <c r="I38" s="40"/>
    </row>
    <row r="39" spans="1:12">
      <c r="A39" s="10"/>
      <c r="B39" s="10"/>
      <c r="C39" s="40"/>
      <c r="D39" s="40"/>
      <c r="E39" s="40"/>
      <c r="F39" s="40"/>
      <c r="G39" s="40"/>
      <c r="H39" s="40"/>
      <c r="I39" s="40"/>
      <c r="J39" s="2"/>
      <c r="K39" s="2"/>
      <c r="L39" s="2"/>
    </row>
    <row r="40" spans="1:12">
      <c r="A40" s="10"/>
      <c r="B40" s="10"/>
      <c r="C40" s="40"/>
      <c r="D40" s="40"/>
      <c r="E40" s="40"/>
      <c r="F40" s="40"/>
      <c r="G40" s="40"/>
      <c r="H40" s="40"/>
      <c r="I40" s="40"/>
      <c r="J40" s="13"/>
      <c r="K40" s="13"/>
      <c r="L40" s="13"/>
    </row>
    <row r="41" spans="1:12">
      <c r="A41" s="10"/>
      <c r="B41" s="10"/>
      <c r="C41" s="40"/>
      <c r="D41" s="40"/>
      <c r="E41" s="40"/>
      <c r="F41" s="40"/>
      <c r="G41" s="40"/>
      <c r="H41" s="40"/>
      <c r="I41" s="40"/>
      <c r="J41" s="13"/>
      <c r="K41" s="13"/>
      <c r="L41" s="13"/>
    </row>
    <row r="42" spans="1:12">
      <c r="A42" s="10"/>
      <c r="B42" s="10"/>
      <c r="C42" s="40"/>
      <c r="D42" s="40"/>
      <c r="E42" s="40"/>
      <c r="F42" s="40"/>
      <c r="G42" s="40"/>
      <c r="H42" s="40"/>
      <c r="I42" s="40"/>
      <c r="J42" s="13"/>
      <c r="K42" s="13"/>
      <c r="L42" s="13"/>
    </row>
    <row r="43" spans="1:12">
      <c r="A43" s="10"/>
      <c r="B43" s="10"/>
      <c r="C43" s="40"/>
      <c r="D43" s="40"/>
      <c r="E43" s="40"/>
      <c r="F43" s="40"/>
      <c r="G43" s="40"/>
      <c r="H43" s="40"/>
      <c r="I43" s="40"/>
    </row>
    <row r="44" spans="1:12">
      <c r="A44" s="10"/>
      <c r="B44" s="10"/>
      <c r="C44" s="10"/>
      <c r="D44" s="10"/>
    </row>
    <row r="45" spans="1:12">
      <c r="A45" s="10"/>
      <c r="B45" s="10"/>
      <c r="C45" s="13"/>
      <c r="D45" s="13"/>
      <c r="E45" s="13"/>
      <c r="F45" s="13"/>
      <c r="G45" s="13"/>
      <c r="H45" s="13"/>
      <c r="I45" s="13"/>
      <c r="J45" s="2"/>
      <c r="K45" s="2"/>
      <c r="L45" s="2"/>
    </row>
    <row r="46" spans="1:12">
      <c r="A46" s="10"/>
      <c r="B46" s="10"/>
      <c r="C46" s="13"/>
      <c r="D46" s="13"/>
      <c r="E46" s="13"/>
      <c r="F46" s="13"/>
      <c r="G46" s="13"/>
      <c r="H46" s="13"/>
      <c r="I46" s="13"/>
      <c r="J46" s="13"/>
      <c r="K46" s="13"/>
      <c r="L46" s="13"/>
    </row>
    <row r="47" spans="1:12">
      <c r="A47" s="10"/>
      <c r="B47" s="10"/>
      <c r="C47" s="13"/>
      <c r="D47" s="13"/>
      <c r="E47" s="13"/>
      <c r="F47" s="13"/>
      <c r="G47" s="13"/>
      <c r="H47" s="13"/>
      <c r="I47" s="13"/>
      <c r="J47" s="13"/>
      <c r="K47" s="13"/>
      <c r="L47" s="13"/>
    </row>
    <row r="48" spans="1:12">
      <c r="A48" s="10"/>
      <c r="B48" s="10"/>
      <c r="C48" s="13"/>
      <c r="D48" s="13"/>
      <c r="E48" s="13"/>
      <c r="F48" s="13"/>
      <c r="G48" s="13"/>
      <c r="H48" s="13"/>
      <c r="I48" s="13"/>
      <c r="J48" s="13"/>
      <c r="K48" s="13"/>
      <c r="L48" s="13"/>
    </row>
    <row r="49" spans="1:9">
      <c r="A49" s="10"/>
      <c r="B49" s="10"/>
      <c r="C49" s="13"/>
      <c r="D49" s="13"/>
      <c r="E49" s="13"/>
      <c r="F49" s="13"/>
      <c r="G49" s="13"/>
      <c r="H49" s="13"/>
      <c r="I49" s="13"/>
    </row>
    <row r="50" spans="1:9">
      <c r="A50" s="10"/>
      <c r="B50" s="10"/>
      <c r="C50" s="13"/>
      <c r="D50" s="13"/>
      <c r="E50" s="13"/>
      <c r="F50" s="13"/>
      <c r="G50" s="13"/>
      <c r="H50" s="13"/>
      <c r="I50" s="13"/>
    </row>
    <row r="51" spans="1:9">
      <c r="A51" s="10"/>
      <c r="B51" s="10"/>
      <c r="C51" s="13"/>
      <c r="D51" s="13"/>
      <c r="E51" s="13"/>
      <c r="F51" s="13"/>
      <c r="G51" s="13"/>
      <c r="H51" s="13"/>
      <c r="I51" s="13"/>
    </row>
    <row r="52" spans="1:9">
      <c r="A52" s="10"/>
      <c r="B52" s="10"/>
      <c r="C52" s="13"/>
      <c r="D52" s="13"/>
      <c r="E52" s="13"/>
      <c r="F52" s="13"/>
      <c r="G52" s="13"/>
      <c r="H52" s="13"/>
      <c r="I52" s="13"/>
    </row>
    <row r="53" spans="1:9">
      <c r="A53" s="10"/>
      <c r="B53" s="10"/>
      <c r="C53" s="13"/>
      <c r="D53" s="13"/>
      <c r="E53" s="13"/>
      <c r="F53" s="13"/>
      <c r="G53" s="13"/>
      <c r="H53" s="13"/>
      <c r="I53" s="13"/>
    </row>
    <row r="54" spans="1:9">
      <c r="A54" s="10"/>
      <c r="B54" s="10"/>
      <c r="C54" s="10"/>
      <c r="D54" s="10"/>
    </row>
    <row r="55" spans="1:9">
      <c r="A55" s="10"/>
      <c r="B55" s="10"/>
      <c r="C55" s="10"/>
      <c r="D55" s="10"/>
    </row>
    <row r="56" spans="1:9">
      <c r="A56" s="10"/>
      <c r="B56" s="10"/>
      <c r="C56" s="10"/>
      <c r="D56" s="10"/>
    </row>
    <row r="57" spans="1:9">
      <c r="A57" s="10"/>
      <c r="B57" s="10"/>
      <c r="C57" s="10"/>
      <c r="D57" s="10"/>
    </row>
    <row r="58" spans="1:9">
      <c r="A58" s="10"/>
      <c r="B58" s="10"/>
      <c r="C58" s="10"/>
      <c r="D58" s="10"/>
    </row>
    <row r="59" spans="1:9">
      <c r="A59" s="10"/>
      <c r="B59" s="10"/>
      <c r="C59" s="10"/>
      <c r="D59" s="10"/>
    </row>
    <row r="60" spans="1:9">
      <c r="A60" s="10"/>
      <c r="B60" s="10"/>
      <c r="C60" s="10"/>
      <c r="D60" s="10"/>
    </row>
    <row r="61" spans="1:9">
      <c r="A61" s="10"/>
      <c r="B61" s="10"/>
      <c r="C61" s="10"/>
      <c r="D61" s="10"/>
    </row>
    <row r="62" spans="1:9">
      <c r="A62" s="10"/>
      <c r="B62" s="10"/>
      <c r="C62" s="10"/>
      <c r="D62" s="10"/>
    </row>
    <row r="63" spans="1:9">
      <c r="A63" s="10"/>
      <c r="B63" s="10"/>
      <c r="C63" s="10"/>
      <c r="D63" s="10"/>
    </row>
    <row r="64" spans="1:9">
      <c r="A64" s="10"/>
      <c r="B64" s="10"/>
      <c r="C64" s="10"/>
      <c r="D64" s="10"/>
    </row>
    <row r="65" spans="1:4">
      <c r="A65" s="10"/>
      <c r="B65" s="10"/>
      <c r="C65" s="10"/>
      <c r="D65" s="10"/>
    </row>
    <row r="66" spans="1:4">
      <c r="A66" s="10"/>
      <c r="B66" s="10"/>
      <c r="C66" s="10"/>
      <c r="D66" s="10"/>
    </row>
    <row r="67" spans="1:4">
      <c r="A67" s="10"/>
      <c r="B67" s="10"/>
      <c r="C67" s="10"/>
      <c r="D67" s="10"/>
    </row>
    <row r="68" spans="1:4">
      <c r="A68" s="10"/>
      <c r="B68" s="10"/>
      <c r="C68" s="10"/>
      <c r="D68" s="10"/>
    </row>
    <row r="69" spans="1:4">
      <c r="A69" s="10"/>
      <c r="B69" s="10"/>
      <c r="C69" s="10"/>
      <c r="D69" s="10"/>
    </row>
    <row r="70" spans="1:4">
      <c r="A70" s="10"/>
      <c r="B70" s="10"/>
      <c r="C70" s="10"/>
      <c r="D70" s="10"/>
    </row>
    <row r="71" spans="1:4">
      <c r="A71" s="10"/>
      <c r="B71" s="10"/>
      <c r="C71" s="10"/>
      <c r="D71" s="10"/>
    </row>
    <row r="72" spans="1:4">
      <c r="A72" s="10"/>
      <c r="B72" s="10"/>
      <c r="C72" s="10"/>
      <c r="D72" s="10"/>
    </row>
    <row r="73" spans="1:4">
      <c r="A73" s="10"/>
      <c r="B73" s="10"/>
      <c r="C73" s="10"/>
      <c r="D73" s="10"/>
    </row>
    <row r="74" spans="1:4">
      <c r="A74" s="10"/>
      <c r="B74" s="10"/>
      <c r="C74" s="10"/>
      <c r="D74" s="10"/>
    </row>
    <row r="75" spans="1:4">
      <c r="A75" s="10"/>
      <c r="B75" s="10"/>
      <c r="C75" s="10"/>
      <c r="D75" s="10"/>
    </row>
    <row r="76" spans="1:4">
      <c r="A76" s="10"/>
      <c r="B76" s="10"/>
      <c r="C76" s="10"/>
      <c r="D76" s="10"/>
    </row>
    <row r="77" spans="1:4">
      <c r="A77" s="10"/>
      <c r="B77" s="10"/>
      <c r="C77" s="10"/>
      <c r="D77" s="10"/>
    </row>
    <row r="78" spans="1:4">
      <c r="A78" s="10"/>
      <c r="B78" s="10"/>
      <c r="C78" s="10"/>
      <c r="D78" s="10"/>
    </row>
    <row r="79" spans="1:4">
      <c r="A79" s="10"/>
      <c r="B79" s="10"/>
      <c r="C79" s="10"/>
      <c r="D79" s="10"/>
    </row>
    <row r="80" spans="1:4">
      <c r="A80" s="10"/>
      <c r="B80" s="10"/>
      <c r="C80" s="10"/>
      <c r="D80" s="10"/>
    </row>
    <row r="81" spans="1:4">
      <c r="A81" s="10"/>
      <c r="B81" s="10"/>
      <c r="C81" s="10"/>
      <c r="D81" s="10"/>
    </row>
    <row r="82" spans="1:4">
      <c r="A82" s="10"/>
      <c r="B82" s="10"/>
      <c r="C82" s="10"/>
      <c r="D82" s="10"/>
    </row>
    <row r="83" spans="1:4">
      <c r="A83" s="10"/>
      <c r="B83" s="10"/>
      <c r="C83" s="10"/>
      <c r="D83" s="10"/>
    </row>
    <row r="84" spans="1:4">
      <c r="A84" s="10"/>
      <c r="B84" s="10"/>
      <c r="C84" s="10"/>
      <c r="D84" s="10"/>
    </row>
    <row r="85" spans="1:4">
      <c r="A85" s="10"/>
      <c r="B85" s="10"/>
      <c r="C85" s="10"/>
      <c r="D85" s="10"/>
    </row>
    <row r="86" spans="1:4">
      <c r="A86" s="10"/>
      <c r="B86" s="10"/>
      <c r="C86" s="10"/>
      <c r="D86" s="10"/>
    </row>
    <row r="87" spans="1:4">
      <c r="A87" s="10"/>
      <c r="B87" s="10"/>
      <c r="C87" s="10"/>
      <c r="D87" s="10"/>
    </row>
    <row r="88" spans="1:4">
      <c r="A88" s="10"/>
      <c r="B88" s="10"/>
      <c r="C88" s="10"/>
      <c r="D88" s="10"/>
    </row>
    <row r="89" spans="1:4">
      <c r="A89" s="10"/>
      <c r="B89" s="10"/>
      <c r="C89" s="10"/>
      <c r="D89" s="10"/>
    </row>
    <row r="90" spans="1:4">
      <c r="A90" s="10"/>
      <c r="B90" s="10"/>
      <c r="C90" s="10"/>
      <c r="D90" s="10"/>
    </row>
    <row r="91" spans="1:4">
      <c r="A91" s="10"/>
      <c r="B91" s="10"/>
      <c r="C91" s="10"/>
      <c r="D91" s="10"/>
    </row>
    <row r="92" spans="1:4">
      <c r="A92" s="10"/>
      <c r="B92" s="10"/>
      <c r="C92" s="10"/>
      <c r="D92" s="10"/>
    </row>
    <row r="93" spans="1:4">
      <c r="A93" s="10"/>
      <c r="B93" s="10"/>
      <c r="C93" s="10"/>
      <c r="D93" s="10"/>
    </row>
    <row r="94" spans="1:4">
      <c r="A94" s="10"/>
      <c r="B94" s="10"/>
      <c r="C94" s="10"/>
      <c r="D94" s="10"/>
    </row>
    <row r="95" spans="1:4">
      <c r="A95" s="10"/>
      <c r="B95" s="10"/>
      <c r="C95" s="10"/>
      <c r="D95" s="10"/>
    </row>
    <row r="96" spans="1:4">
      <c r="A96" s="10"/>
      <c r="B96" s="10"/>
      <c r="C96" s="10"/>
      <c r="D96" s="10"/>
    </row>
    <row r="97" spans="1:4">
      <c r="A97" s="10"/>
      <c r="B97" s="10"/>
      <c r="C97" s="10"/>
      <c r="D97" s="10"/>
    </row>
    <row r="98" spans="1:4">
      <c r="A98" s="10"/>
      <c r="B98" s="10"/>
      <c r="C98" s="10"/>
      <c r="D98" s="10"/>
    </row>
    <row r="99" spans="1:4">
      <c r="A99" s="10"/>
      <c r="B99" s="10"/>
      <c r="C99" s="10"/>
      <c r="D99" s="10"/>
    </row>
    <row r="100" spans="1:4">
      <c r="A100" s="10"/>
      <c r="B100" s="10"/>
      <c r="C100" s="10"/>
      <c r="D100" s="10"/>
    </row>
    <row r="101" spans="1:4">
      <c r="A101" s="10"/>
      <c r="B101" s="10"/>
      <c r="C101" s="10"/>
      <c r="D101" s="10"/>
    </row>
    <row r="102" spans="1:4">
      <c r="A102" s="10"/>
      <c r="B102" s="10"/>
      <c r="C102" s="10"/>
      <c r="D102" s="10"/>
    </row>
    <row r="103" spans="1:4">
      <c r="A103" s="10"/>
      <c r="B103" s="10"/>
      <c r="C103" s="10"/>
      <c r="D103" s="10"/>
    </row>
    <row r="104" spans="1:4">
      <c r="A104" s="10"/>
      <c r="B104" s="10"/>
      <c r="C104" s="10"/>
      <c r="D104" s="10"/>
    </row>
    <row r="105" spans="1:4">
      <c r="A105" s="10"/>
      <c r="B105" s="10"/>
      <c r="C105" s="10"/>
      <c r="D105" s="10"/>
    </row>
    <row r="106" spans="1:4">
      <c r="A106" s="10"/>
      <c r="B106" s="10"/>
      <c r="C106" s="10"/>
      <c r="D106" s="10"/>
    </row>
    <row r="107" spans="1:4">
      <c r="A107" s="10"/>
      <c r="B107" s="10"/>
      <c r="C107" s="10"/>
      <c r="D107" s="10"/>
    </row>
    <row r="108" spans="1:4">
      <c r="A108" s="10"/>
      <c r="B108" s="10"/>
      <c r="C108" s="10"/>
      <c r="D108" s="10"/>
    </row>
    <row r="109" spans="1:4">
      <c r="A109" s="10"/>
      <c r="B109" s="10"/>
      <c r="C109" s="10"/>
      <c r="D109" s="10"/>
    </row>
    <row r="110" spans="1:4">
      <c r="A110" s="10"/>
      <c r="B110" s="10"/>
      <c r="C110" s="10"/>
      <c r="D110" s="10"/>
    </row>
    <row r="111" spans="1:4">
      <c r="A111" s="10"/>
      <c r="B111" s="10"/>
      <c r="C111" s="10"/>
      <c r="D111" s="10"/>
    </row>
    <row r="112" spans="1:4">
      <c r="A112" s="10"/>
      <c r="B112" s="10"/>
      <c r="C112" s="10"/>
      <c r="D112" s="10"/>
    </row>
    <row r="113" spans="1:4">
      <c r="A113" s="10"/>
      <c r="B113" s="10"/>
      <c r="C113" s="10"/>
      <c r="D113" s="10"/>
    </row>
    <row r="114" spans="1:4">
      <c r="A114" s="10"/>
      <c r="B114" s="10"/>
      <c r="C114" s="10"/>
      <c r="D114" s="10"/>
    </row>
    <row r="115" spans="1:4">
      <c r="A115" s="10"/>
      <c r="B115" s="10"/>
      <c r="C115" s="10"/>
      <c r="D115" s="10"/>
    </row>
    <row r="116" spans="1:4">
      <c r="A116" s="10"/>
      <c r="B116" s="10"/>
      <c r="C116" s="10"/>
      <c r="D116" s="10"/>
    </row>
    <row r="117" spans="1:4">
      <c r="A117" s="10"/>
      <c r="B117" s="10"/>
      <c r="C117" s="10"/>
      <c r="D117" s="10"/>
    </row>
    <row r="118" spans="1:4">
      <c r="A118" s="10"/>
      <c r="B118" s="10"/>
      <c r="C118" s="10"/>
      <c r="D118" s="10"/>
    </row>
    <row r="119" spans="1:4">
      <c r="A119" s="10"/>
      <c r="B119" s="10"/>
      <c r="C119" s="10"/>
      <c r="D119" s="10"/>
    </row>
    <row r="120" spans="1:4">
      <c r="A120" s="10"/>
      <c r="B120" s="10"/>
      <c r="C120" s="10"/>
      <c r="D120" s="10"/>
    </row>
    <row r="121" spans="1:4">
      <c r="A121" s="10"/>
      <c r="B121" s="10"/>
      <c r="C121" s="10"/>
      <c r="D121" s="10"/>
    </row>
    <row r="122" spans="1:4">
      <c r="A122" s="10"/>
      <c r="B122" s="10"/>
      <c r="C122" s="10"/>
      <c r="D122" s="10"/>
    </row>
    <row r="123" spans="1:4">
      <c r="A123" s="10"/>
      <c r="B123" s="10"/>
      <c r="C123" s="10"/>
      <c r="D123" s="10"/>
    </row>
    <row r="124" spans="1:4">
      <c r="A124" s="10"/>
      <c r="B124" s="10"/>
      <c r="C124" s="10"/>
      <c r="D124" s="10"/>
    </row>
    <row r="125" spans="1:4">
      <c r="A125" s="10"/>
      <c r="B125" s="10"/>
      <c r="C125" s="10"/>
      <c r="D125" s="10"/>
    </row>
    <row r="126" spans="1:4">
      <c r="A126" s="10"/>
      <c r="B126" s="10"/>
      <c r="C126" s="10"/>
      <c r="D126" s="10"/>
    </row>
    <row r="127" spans="1:4">
      <c r="A127" s="10"/>
      <c r="B127" s="10"/>
      <c r="C127" s="10"/>
      <c r="D127" s="10"/>
    </row>
    <row r="128" spans="1:4">
      <c r="A128" s="10"/>
      <c r="B128" s="10"/>
      <c r="C128" s="10"/>
      <c r="D128" s="10"/>
    </row>
    <row r="129" spans="1:4">
      <c r="A129" s="10"/>
      <c r="B129" s="10"/>
      <c r="C129" s="10"/>
      <c r="D129" s="10"/>
    </row>
    <row r="130" spans="1:4">
      <c r="A130" s="10"/>
      <c r="B130" s="10"/>
      <c r="C130" s="10"/>
      <c r="D130" s="10"/>
    </row>
    <row r="131" spans="1:4">
      <c r="A131" s="10"/>
      <c r="B131" s="10"/>
      <c r="C131" s="10"/>
      <c r="D131" s="10"/>
    </row>
    <row r="132" spans="1:4">
      <c r="A132" s="10"/>
      <c r="B132" s="10"/>
      <c r="C132" s="10"/>
      <c r="D132" s="10"/>
    </row>
    <row r="133" spans="1:4">
      <c r="A133" s="10"/>
      <c r="B133" s="10"/>
      <c r="C133" s="10"/>
      <c r="D133" s="10"/>
    </row>
    <row r="134" spans="1:4">
      <c r="A134" s="10"/>
      <c r="B134" s="10"/>
      <c r="C134" s="10"/>
      <c r="D134" s="10"/>
    </row>
    <row r="135" spans="1:4">
      <c r="A135" s="10"/>
      <c r="B135" s="10"/>
      <c r="C135" s="10"/>
      <c r="D135" s="10"/>
    </row>
    <row r="136" spans="1:4">
      <c r="A136" s="10"/>
      <c r="B136" s="10"/>
      <c r="C136" s="10"/>
      <c r="D136" s="10"/>
    </row>
    <row r="137" spans="1:4">
      <c r="A137" s="10"/>
      <c r="B137" s="10"/>
      <c r="C137" s="10"/>
      <c r="D137" s="10"/>
    </row>
    <row r="138" spans="1:4">
      <c r="A138" s="10"/>
      <c r="B138" s="10"/>
      <c r="C138" s="10"/>
      <c r="D138" s="10"/>
    </row>
    <row r="139" spans="1:4">
      <c r="A139" s="10"/>
      <c r="B139" s="10"/>
      <c r="C139" s="10"/>
      <c r="D139" s="10"/>
    </row>
    <row r="140" spans="1:4">
      <c r="A140" s="10"/>
      <c r="B140" s="10"/>
      <c r="C140" s="10"/>
      <c r="D140" s="10"/>
    </row>
    <row r="141" spans="1:4">
      <c r="A141" s="10"/>
      <c r="B141" s="10"/>
      <c r="C141" s="10"/>
      <c r="D141" s="10"/>
    </row>
    <row r="142" spans="1:4">
      <c r="A142" s="10"/>
      <c r="B142" s="10"/>
      <c r="C142" s="10"/>
      <c r="D142" s="10"/>
    </row>
    <row r="143" spans="1:4">
      <c r="A143" s="10"/>
      <c r="B143" s="10"/>
      <c r="C143" s="10"/>
      <c r="D143" s="10"/>
    </row>
    <row r="144" spans="1:4">
      <c r="A144" s="10"/>
      <c r="B144" s="10"/>
      <c r="C144" s="10"/>
      <c r="D144" s="10"/>
    </row>
    <row r="145" spans="1:4">
      <c r="A145" s="10"/>
      <c r="B145" s="10"/>
      <c r="C145" s="10"/>
      <c r="D145" s="10"/>
    </row>
    <row r="146" spans="1:4">
      <c r="A146" s="10"/>
      <c r="B146" s="10"/>
      <c r="C146" s="10"/>
      <c r="D146" s="10"/>
    </row>
    <row r="147" spans="1:4">
      <c r="A147" s="10"/>
      <c r="B147" s="10"/>
      <c r="C147" s="10"/>
      <c r="D147" s="10"/>
    </row>
    <row r="148" spans="1:4">
      <c r="A148" s="10"/>
      <c r="B148" s="10"/>
      <c r="C148" s="10"/>
      <c r="D148" s="10"/>
    </row>
    <row r="149" spans="1:4">
      <c r="A149" s="10"/>
      <c r="B149" s="10"/>
      <c r="C149" s="10"/>
      <c r="D149" s="10"/>
    </row>
    <row r="150" spans="1:4">
      <c r="A150" s="10"/>
      <c r="B150" s="10"/>
      <c r="C150" s="10"/>
      <c r="D150" s="10"/>
    </row>
    <row r="151" spans="1:4">
      <c r="A151" s="10"/>
      <c r="B151" s="10"/>
      <c r="C151" s="10"/>
      <c r="D151" s="10"/>
    </row>
    <row r="152" spans="1:4">
      <c r="A152" s="10"/>
      <c r="B152" s="10"/>
      <c r="C152" s="10"/>
      <c r="D152" s="10"/>
    </row>
    <row r="153" spans="1:4">
      <c r="A153" s="10"/>
      <c r="B153" s="10"/>
      <c r="C153" s="10"/>
      <c r="D153" s="10"/>
    </row>
    <row r="154" spans="1:4">
      <c r="A154" s="10"/>
      <c r="B154" s="10"/>
      <c r="C154" s="10"/>
      <c r="D154" s="10"/>
    </row>
    <row r="155" spans="1:4">
      <c r="A155" s="10"/>
      <c r="B155" s="10"/>
      <c r="C155" s="10"/>
      <c r="D155" s="10"/>
    </row>
    <row r="156" spans="1:4">
      <c r="A156" s="10"/>
      <c r="B156" s="10"/>
      <c r="C156" s="10"/>
      <c r="D156" s="10"/>
    </row>
    <row r="157" spans="1:4">
      <c r="A157" s="10"/>
      <c r="B157" s="10"/>
      <c r="C157" s="10"/>
      <c r="D157" s="10"/>
    </row>
    <row r="158" spans="1:4">
      <c r="A158" s="10"/>
      <c r="B158" s="10"/>
      <c r="C158" s="10"/>
      <c r="D158" s="10"/>
    </row>
    <row r="159" spans="1:4">
      <c r="A159" s="10"/>
      <c r="B159" s="10"/>
      <c r="C159" s="10"/>
      <c r="D159" s="10"/>
    </row>
    <row r="160" spans="1:4">
      <c r="A160" s="10"/>
      <c r="B160" s="10"/>
      <c r="C160" s="10"/>
      <c r="D160" s="10"/>
    </row>
    <row r="161" spans="1:4">
      <c r="A161" s="10"/>
      <c r="B161" s="10"/>
      <c r="C161" s="10"/>
      <c r="D161" s="10"/>
    </row>
    <row r="162" spans="1:4">
      <c r="A162" s="10"/>
      <c r="B162" s="10"/>
      <c r="C162" s="10"/>
      <c r="D162" s="10"/>
    </row>
    <row r="163" spans="1:4">
      <c r="A163" s="10"/>
      <c r="B163" s="10"/>
      <c r="C163" s="10"/>
      <c r="D163" s="10"/>
    </row>
    <row r="164" spans="1:4">
      <c r="A164" s="10"/>
      <c r="B164" s="10"/>
      <c r="C164" s="10"/>
      <c r="D164" s="10"/>
    </row>
    <row r="165" spans="1:4">
      <c r="A165" s="10"/>
      <c r="B165" s="10"/>
      <c r="C165" s="10"/>
      <c r="D165" s="10"/>
    </row>
    <row r="166" spans="1:4">
      <c r="A166" s="10"/>
      <c r="B166" s="10"/>
      <c r="C166" s="10"/>
      <c r="D166" s="10"/>
    </row>
    <row r="167" spans="1:4">
      <c r="A167" s="10"/>
      <c r="B167" s="10"/>
      <c r="C167" s="10"/>
      <c r="D167" s="10"/>
    </row>
    <row r="168" spans="1:4">
      <c r="A168" s="10"/>
      <c r="B168" s="10"/>
      <c r="C168" s="10"/>
      <c r="D168" s="10"/>
    </row>
    <row r="169" spans="1:4">
      <c r="A169" s="10"/>
      <c r="B169" s="10"/>
      <c r="C169" s="10"/>
      <c r="D169" s="10"/>
    </row>
    <row r="170" spans="1:4">
      <c r="A170" s="10"/>
      <c r="B170" s="10"/>
      <c r="C170" s="10"/>
      <c r="D170" s="10"/>
    </row>
    <row r="171" spans="1:4">
      <c r="A171" s="10"/>
      <c r="B171" s="10"/>
      <c r="C171" s="10"/>
      <c r="D171" s="10"/>
    </row>
    <row r="172" spans="1:4">
      <c r="A172" s="10"/>
      <c r="B172" s="10"/>
      <c r="C172" s="10"/>
      <c r="D172" s="10"/>
    </row>
    <row r="173" spans="1:4">
      <c r="A173" s="10"/>
      <c r="B173" s="10"/>
      <c r="C173" s="10"/>
      <c r="D173" s="10"/>
    </row>
    <row r="174" spans="1:4">
      <c r="A174" s="10"/>
      <c r="B174" s="10"/>
      <c r="C174" s="10"/>
      <c r="D174" s="10"/>
    </row>
    <row r="175" spans="1:4">
      <c r="A175" s="10"/>
      <c r="B175" s="10"/>
      <c r="C175" s="10"/>
      <c r="D175" s="10"/>
    </row>
    <row r="176" spans="1:4">
      <c r="A176" s="10"/>
      <c r="B176" s="10"/>
      <c r="C176" s="10"/>
      <c r="D176" s="10"/>
    </row>
    <row r="177" spans="1:4">
      <c r="A177" s="10"/>
      <c r="B177" s="10"/>
      <c r="C177" s="10"/>
      <c r="D177" s="10"/>
    </row>
    <row r="178" spans="1:4">
      <c r="A178" s="10"/>
      <c r="B178" s="10"/>
      <c r="C178" s="10"/>
      <c r="D178" s="10"/>
    </row>
    <row r="179" spans="1:4">
      <c r="A179" s="10"/>
      <c r="B179" s="10"/>
      <c r="C179" s="10"/>
      <c r="D179" s="10"/>
    </row>
    <row r="180" spans="1:4">
      <c r="A180" s="10"/>
      <c r="B180" s="10"/>
      <c r="C180" s="10"/>
      <c r="D180" s="10"/>
    </row>
    <row r="181" spans="1:4">
      <c r="A181" s="10"/>
      <c r="B181" s="10"/>
      <c r="C181" s="10"/>
      <c r="D181" s="10"/>
    </row>
    <row r="182" spans="1:4">
      <c r="A182" s="10"/>
      <c r="B182" s="10"/>
      <c r="C182" s="10"/>
      <c r="D182" s="10"/>
    </row>
    <row r="183" spans="1:4">
      <c r="A183" s="10"/>
      <c r="B183" s="10"/>
      <c r="C183" s="10"/>
      <c r="D183" s="10"/>
    </row>
    <row r="184" spans="1:4">
      <c r="A184" s="10"/>
      <c r="B184" s="10"/>
      <c r="C184" s="10"/>
      <c r="D184" s="10"/>
    </row>
    <row r="185" spans="1:4">
      <c r="A185" s="10"/>
      <c r="B185" s="10"/>
      <c r="C185" s="10"/>
      <c r="D185" s="10"/>
    </row>
    <row r="186" spans="1:4">
      <c r="A186" s="10"/>
      <c r="B186" s="10"/>
      <c r="C186" s="10"/>
      <c r="D186" s="10"/>
    </row>
    <row r="187" spans="1:4">
      <c r="A187" s="10"/>
      <c r="B187" s="10"/>
      <c r="C187" s="10"/>
      <c r="D187" s="10"/>
    </row>
    <row r="188" spans="1:4">
      <c r="A188" s="10"/>
      <c r="B188" s="10"/>
      <c r="C188" s="10"/>
      <c r="D188" s="10"/>
    </row>
    <row r="189" spans="1:4">
      <c r="A189" s="10"/>
      <c r="B189" s="10"/>
      <c r="C189" s="10"/>
      <c r="D189" s="10"/>
    </row>
    <row r="190" spans="1:4">
      <c r="A190" s="10"/>
      <c r="B190" s="10"/>
      <c r="C190" s="10"/>
      <c r="D190" s="10"/>
    </row>
    <row r="191" spans="1:4">
      <c r="A191" s="10"/>
      <c r="B191" s="10"/>
      <c r="C191" s="10"/>
      <c r="D191" s="10"/>
    </row>
    <row r="192" spans="1:4">
      <c r="A192" s="10"/>
      <c r="B192" s="10"/>
      <c r="C192" s="10"/>
      <c r="D192" s="10"/>
    </row>
    <row r="193" spans="1:4">
      <c r="A193" s="10"/>
      <c r="B193" s="10"/>
      <c r="C193" s="10"/>
      <c r="D193" s="10"/>
    </row>
    <row r="194" spans="1:4">
      <c r="A194" s="10"/>
      <c r="B194" s="10"/>
      <c r="C194" s="10"/>
      <c r="D194" s="10"/>
    </row>
    <row r="195" spans="1:4">
      <c r="A195" s="10"/>
      <c r="B195" s="10"/>
      <c r="C195" s="10"/>
      <c r="D195" s="10"/>
    </row>
    <row r="196" spans="1:4">
      <c r="A196" s="10"/>
      <c r="B196" s="10"/>
      <c r="C196" s="10"/>
      <c r="D196" s="10"/>
    </row>
    <row r="197" spans="1:4">
      <c r="A197" s="10"/>
      <c r="B197" s="10"/>
      <c r="C197" s="10"/>
      <c r="D197" s="10"/>
    </row>
    <row r="198" spans="1:4">
      <c r="A198" s="10"/>
      <c r="B198" s="10"/>
      <c r="C198" s="10"/>
      <c r="D198" s="10"/>
    </row>
    <row r="199" spans="1:4">
      <c r="A199" s="10"/>
      <c r="B199" s="10"/>
      <c r="C199" s="10"/>
      <c r="D199" s="10"/>
    </row>
    <row r="200" spans="1:4">
      <c r="A200" s="10"/>
      <c r="B200" s="10"/>
      <c r="C200" s="10"/>
      <c r="D200" s="10"/>
    </row>
    <row r="201" spans="1:4">
      <c r="A201" s="10"/>
      <c r="B201" s="10"/>
      <c r="C201" s="10"/>
      <c r="D201" s="10"/>
    </row>
    <row r="202" spans="1:4">
      <c r="A202" s="10"/>
      <c r="B202" s="10"/>
      <c r="C202" s="10"/>
      <c r="D202" s="10"/>
    </row>
    <row r="203" spans="1:4">
      <c r="A203" s="10"/>
      <c r="B203" s="10"/>
      <c r="C203" s="10"/>
      <c r="D203" s="10"/>
    </row>
    <row r="204" spans="1:4">
      <c r="A204" s="10"/>
      <c r="B204" s="10"/>
      <c r="C204" s="10"/>
      <c r="D204" s="10"/>
    </row>
    <row r="205" spans="1:4">
      <c r="A205" s="10"/>
      <c r="B205" s="10"/>
      <c r="C205" s="10"/>
      <c r="D205" s="10"/>
    </row>
    <row r="206" spans="1:4">
      <c r="A206" s="10"/>
      <c r="B206" s="10"/>
      <c r="C206" s="10"/>
      <c r="D206" s="10"/>
    </row>
    <row r="207" spans="1:4">
      <c r="A207" s="10"/>
      <c r="B207" s="10"/>
      <c r="C207" s="10"/>
      <c r="D207" s="10"/>
    </row>
    <row r="208" spans="1:4">
      <c r="A208" s="10"/>
      <c r="B208" s="10"/>
      <c r="C208" s="10"/>
      <c r="D208" s="10"/>
    </row>
    <row r="209" spans="1:4">
      <c r="A209" s="10"/>
      <c r="B209" s="10"/>
      <c r="C209" s="10"/>
      <c r="D209" s="10"/>
    </row>
    <row r="210" spans="1:4">
      <c r="A210" s="10"/>
      <c r="B210" s="10"/>
      <c r="C210" s="10"/>
      <c r="D210" s="10"/>
    </row>
    <row r="211" spans="1:4">
      <c r="A211" s="10"/>
      <c r="B211" s="10"/>
      <c r="C211" s="10"/>
      <c r="D211" s="10"/>
    </row>
    <row r="212" spans="1:4">
      <c r="A212" s="10"/>
      <c r="B212" s="10"/>
      <c r="C212" s="10"/>
      <c r="D212" s="10"/>
    </row>
    <row r="213" spans="1:4">
      <c r="A213" s="10"/>
      <c r="B213" s="10"/>
      <c r="C213" s="10"/>
      <c r="D213" s="10"/>
    </row>
    <row r="214" spans="1:4">
      <c r="A214" s="10"/>
      <c r="B214" s="10"/>
      <c r="C214" s="10"/>
      <c r="D214" s="10"/>
    </row>
    <row r="215" spans="1:4">
      <c r="A215" s="10"/>
      <c r="B215" s="10"/>
      <c r="C215" s="10"/>
      <c r="D215" s="10"/>
    </row>
    <row r="216" spans="1:4">
      <c r="A216" s="10"/>
      <c r="B216" s="10"/>
      <c r="C216" s="10"/>
      <c r="D216" s="10"/>
    </row>
    <row r="217" spans="1:4">
      <c r="A217" s="10"/>
      <c r="B217" s="10"/>
      <c r="C217" s="10"/>
      <c r="D217" s="10"/>
    </row>
    <row r="218" spans="1:4">
      <c r="A218" s="10"/>
      <c r="B218" s="10"/>
      <c r="C218" s="10"/>
      <c r="D218" s="10"/>
    </row>
    <row r="219" spans="1:4">
      <c r="A219" s="10"/>
      <c r="B219" s="10"/>
      <c r="C219" s="10"/>
      <c r="D219" s="10"/>
    </row>
    <row r="220" spans="1:4">
      <c r="A220" s="10"/>
      <c r="B220" s="10"/>
      <c r="C220" s="10"/>
      <c r="D220" s="10"/>
    </row>
    <row r="221" spans="1:4">
      <c r="A221" s="10"/>
      <c r="B221" s="10"/>
      <c r="C221" s="10"/>
      <c r="D221" s="10"/>
    </row>
    <row r="222" spans="1:4">
      <c r="A222" s="10"/>
      <c r="B222" s="10"/>
      <c r="C222" s="10"/>
      <c r="D222" s="10"/>
    </row>
    <row r="223" spans="1:4">
      <c r="A223" s="10"/>
      <c r="B223" s="10"/>
      <c r="C223" s="10"/>
      <c r="D223" s="10"/>
    </row>
    <row r="224" spans="1:4">
      <c r="A224" s="10"/>
      <c r="B224" s="10"/>
      <c r="C224" s="10"/>
      <c r="D224" s="10"/>
    </row>
    <row r="225" spans="1:4">
      <c r="A225" s="10"/>
      <c r="B225" s="10"/>
      <c r="C225" s="10"/>
      <c r="D225" s="10"/>
    </row>
    <row r="226" spans="1:4">
      <c r="A226" s="10"/>
      <c r="B226" s="10"/>
      <c r="C226" s="10"/>
      <c r="D226" s="10"/>
    </row>
    <row r="227" spans="1:4">
      <c r="A227" s="10"/>
      <c r="B227" s="10"/>
      <c r="C227" s="10"/>
      <c r="D227" s="10"/>
    </row>
    <row r="228" spans="1:4">
      <c r="A228" s="10"/>
      <c r="B228" s="10"/>
      <c r="C228" s="10"/>
      <c r="D228" s="10"/>
    </row>
    <row r="229" spans="1:4">
      <c r="A229" s="10"/>
      <c r="B229" s="10"/>
      <c r="C229" s="10"/>
      <c r="D229" s="10"/>
    </row>
    <row r="230" spans="1:4">
      <c r="A230" s="10"/>
      <c r="B230" s="10"/>
      <c r="C230" s="10"/>
      <c r="D230" s="10"/>
    </row>
    <row r="231" spans="1:4">
      <c r="A231" s="10"/>
      <c r="B231" s="10"/>
      <c r="C231" s="10"/>
      <c r="D231" s="10"/>
    </row>
    <row r="232" spans="1:4">
      <c r="A232" s="10"/>
      <c r="B232" s="10"/>
      <c r="C232" s="10"/>
      <c r="D232" s="10"/>
    </row>
    <row r="233" spans="1:4">
      <c r="A233" s="10"/>
      <c r="B233" s="10"/>
      <c r="C233" s="10"/>
      <c r="D233" s="10"/>
    </row>
    <row r="234" spans="1:4">
      <c r="A234" s="10"/>
      <c r="B234" s="10"/>
      <c r="C234" s="10"/>
      <c r="D234" s="10"/>
    </row>
    <row r="235" spans="1:4">
      <c r="A235" s="10"/>
      <c r="B235" s="10"/>
      <c r="C235" s="10"/>
      <c r="D235" s="10"/>
    </row>
    <row r="236" spans="1:4">
      <c r="A236" s="10"/>
      <c r="B236" s="10"/>
      <c r="C236" s="10"/>
      <c r="D236" s="10"/>
    </row>
    <row r="237" spans="1:4">
      <c r="A237" s="10"/>
      <c r="B237" s="10"/>
      <c r="C237" s="10"/>
      <c r="D237" s="10"/>
    </row>
    <row r="238" spans="1:4">
      <c r="A238" s="10"/>
      <c r="B238" s="10"/>
      <c r="C238" s="10"/>
      <c r="D238" s="10"/>
    </row>
    <row r="239" spans="1:4">
      <c r="A239" s="10"/>
      <c r="B239" s="10"/>
      <c r="C239" s="10"/>
      <c r="D239" s="10"/>
    </row>
    <row r="240" spans="1:4">
      <c r="A240" s="10"/>
      <c r="B240" s="10"/>
      <c r="C240" s="10"/>
      <c r="D240" s="10"/>
    </row>
    <row r="241" spans="1:4">
      <c r="A241" s="10"/>
      <c r="B241" s="10"/>
      <c r="C241" s="10"/>
      <c r="D241" s="10"/>
    </row>
    <row r="242" spans="1:4">
      <c r="A242" s="10"/>
      <c r="B242" s="10"/>
      <c r="C242" s="10"/>
      <c r="D242" s="10"/>
    </row>
    <row r="243" spans="1:4">
      <c r="A243" s="10"/>
      <c r="B243" s="10"/>
      <c r="C243" s="10"/>
      <c r="D243" s="10"/>
    </row>
    <row r="244" spans="1:4">
      <c r="A244" s="10"/>
      <c r="B244" s="10"/>
      <c r="C244" s="10"/>
      <c r="D244" s="10"/>
    </row>
    <row r="245" spans="1:4">
      <c r="A245" s="10"/>
      <c r="B245" s="10"/>
      <c r="C245" s="10"/>
      <c r="D245" s="10"/>
    </row>
    <row r="246" spans="1:4">
      <c r="A246" s="10"/>
      <c r="B246" s="10"/>
      <c r="C246" s="10"/>
      <c r="D246" s="10"/>
    </row>
    <row r="247" spans="1:4">
      <c r="A247" s="10"/>
      <c r="B247" s="10"/>
      <c r="C247" s="10"/>
      <c r="D247" s="10"/>
    </row>
    <row r="248" spans="1:4">
      <c r="A248" s="10"/>
      <c r="B248" s="10"/>
      <c r="C248" s="10"/>
      <c r="D248" s="10"/>
    </row>
    <row r="249" spans="1:4">
      <c r="A249" s="10"/>
      <c r="B249" s="10"/>
      <c r="C249" s="10"/>
      <c r="D249" s="10"/>
    </row>
    <row r="250" spans="1:4">
      <c r="A250" s="10"/>
      <c r="B250" s="10"/>
      <c r="C250" s="10"/>
      <c r="D250" s="10"/>
    </row>
    <row r="251" spans="1:4">
      <c r="A251" s="10"/>
      <c r="B251" s="10"/>
      <c r="C251" s="10"/>
      <c r="D251" s="10"/>
    </row>
    <row r="252" spans="1:4">
      <c r="A252" s="10"/>
      <c r="B252" s="10"/>
      <c r="C252" s="10"/>
      <c r="D252" s="10"/>
    </row>
    <row r="253" spans="1:4">
      <c r="A253" s="10"/>
      <c r="B253" s="10"/>
      <c r="C253" s="10"/>
      <c r="D253" s="10"/>
    </row>
    <row r="254" spans="1:4">
      <c r="A254" s="10"/>
      <c r="B254" s="10"/>
      <c r="C254" s="10"/>
      <c r="D254" s="10"/>
    </row>
    <row r="255" spans="1:4">
      <c r="A255" s="10"/>
      <c r="B255" s="10"/>
      <c r="C255" s="10"/>
      <c r="D255" s="10"/>
    </row>
    <row r="256" spans="1:4">
      <c r="A256" s="10"/>
      <c r="B256" s="10"/>
      <c r="C256" s="10"/>
      <c r="D256" s="10"/>
    </row>
    <row r="257" spans="1:4">
      <c r="A257" s="10"/>
      <c r="B257" s="10"/>
      <c r="C257" s="10"/>
      <c r="D257" s="10"/>
    </row>
    <row r="258" spans="1:4">
      <c r="A258" s="10"/>
      <c r="B258" s="10"/>
      <c r="C258" s="10"/>
      <c r="D258" s="10"/>
    </row>
    <row r="259" spans="1:4">
      <c r="A259" s="10"/>
      <c r="B259" s="10"/>
      <c r="C259" s="10"/>
      <c r="D259" s="10"/>
    </row>
    <row r="260" spans="1:4">
      <c r="A260" s="10"/>
      <c r="B260" s="10"/>
      <c r="C260" s="10"/>
      <c r="D260" s="10"/>
    </row>
    <row r="261" spans="1:4">
      <c r="A261" s="10"/>
      <c r="B261" s="10"/>
      <c r="C261" s="10"/>
      <c r="D261" s="10"/>
    </row>
    <row r="262" spans="1:4">
      <c r="A262" s="10"/>
      <c r="B262" s="10"/>
      <c r="C262" s="10"/>
      <c r="D262" s="10"/>
    </row>
    <row r="263" spans="1:4">
      <c r="A263" s="10"/>
      <c r="B263" s="10"/>
      <c r="C263" s="10"/>
      <c r="D263" s="10"/>
    </row>
    <row r="264" spans="1:4">
      <c r="A264" s="10"/>
      <c r="B264" s="10"/>
      <c r="C264" s="10"/>
      <c r="D264" s="10"/>
    </row>
    <row r="265" spans="1:4">
      <c r="A265" s="10"/>
      <c r="B265" s="10"/>
      <c r="C265" s="10"/>
      <c r="D265" s="10"/>
    </row>
    <row r="266" spans="1:4">
      <c r="A266" s="10"/>
      <c r="B266" s="10"/>
      <c r="C266" s="10"/>
      <c r="D266" s="10"/>
    </row>
    <row r="267" spans="1:4">
      <c r="A267" s="10"/>
      <c r="B267" s="10"/>
      <c r="C267" s="10"/>
      <c r="D267" s="10"/>
    </row>
    <row r="268" spans="1:4">
      <c r="A268" s="10"/>
      <c r="B268" s="10"/>
      <c r="C268" s="10"/>
      <c r="D268" s="10"/>
    </row>
    <row r="269" spans="1:4">
      <c r="A269" s="10"/>
      <c r="B269" s="10"/>
      <c r="C269" s="10"/>
      <c r="D269" s="10"/>
    </row>
    <row r="270" spans="1:4">
      <c r="A270" s="10"/>
      <c r="B270" s="10"/>
      <c r="C270" s="10"/>
      <c r="D270" s="10"/>
    </row>
    <row r="271" spans="1:4">
      <c r="A271" s="10"/>
      <c r="B271" s="10"/>
      <c r="C271" s="10"/>
      <c r="D271" s="10"/>
    </row>
    <row r="272" spans="1:4">
      <c r="A272" s="10"/>
      <c r="B272" s="10"/>
      <c r="C272" s="10"/>
      <c r="D272" s="10"/>
    </row>
    <row r="273" spans="1:4">
      <c r="A273" s="10"/>
      <c r="B273" s="10"/>
      <c r="C273" s="10"/>
      <c r="D273" s="10"/>
    </row>
    <row r="274" spans="1:4">
      <c r="A274" s="10"/>
      <c r="B274" s="10"/>
      <c r="C274" s="10"/>
      <c r="D274" s="10"/>
    </row>
    <row r="275" spans="1:4">
      <c r="A275" s="10"/>
      <c r="B275" s="10"/>
      <c r="C275" s="10"/>
      <c r="D275" s="10"/>
    </row>
    <row r="276" spans="1:4">
      <c r="A276" s="10"/>
      <c r="B276" s="10"/>
      <c r="C276" s="10"/>
      <c r="D276" s="10"/>
    </row>
    <row r="277" spans="1:4">
      <c r="A277" s="10"/>
      <c r="B277" s="10"/>
      <c r="C277" s="10"/>
      <c r="D277" s="10"/>
    </row>
    <row r="278" spans="1:4">
      <c r="A278" s="10"/>
      <c r="B278" s="10"/>
      <c r="C278" s="10"/>
      <c r="D278" s="10"/>
    </row>
    <row r="279" spans="1:4">
      <c r="A279" s="10"/>
      <c r="B279" s="10"/>
      <c r="C279" s="10"/>
      <c r="D279" s="10"/>
    </row>
    <row r="280" spans="1:4">
      <c r="A280" s="10"/>
      <c r="B280" s="10"/>
      <c r="C280" s="10"/>
      <c r="D280" s="10"/>
    </row>
    <row r="281" spans="1:4">
      <c r="A281" s="10"/>
      <c r="B281" s="10"/>
      <c r="C281" s="10"/>
      <c r="D281" s="10"/>
    </row>
    <row r="282" spans="1:4">
      <c r="A282" s="10"/>
      <c r="B282" s="10"/>
      <c r="C282" s="10"/>
      <c r="D282" s="10"/>
    </row>
    <row r="283" spans="1:4">
      <c r="A283" s="10"/>
      <c r="B283" s="10"/>
      <c r="C283" s="10"/>
      <c r="D283" s="10"/>
    </row>
    <row r="284" spans="1:4">
      <c r="A284" s="10"/>
      <c r="B284" s="10"/>
      <c r="C284" s="10"/>
      <c r="D284" s="10"/>
    </row>
    <row r="285" spans="1:4">
      <c r="A285" s="10"/>
      <c r="B285" s="10"/>
      <c r="C285" s="10"/>
      <c r="D285" s="10"/>
    </row>
    <row r="286" spans="1:4">
      <c r="A286" s="10"/>
      <c r="B286" s="10"/>
      <c r="C286" s="10"/>
      <c r="D286" s="10"/>
    </row>
    <row r="287" spans="1:4">
      <c r="A287" s="10"/>
      <c r="B287" s="10"/>
      <c r="C287" s="10"/>
      <c r="D287" s="10"/>
    </row>
    <row r="288" spans="1:4">
      <c r="A288" s="10"/>
      <c r="B288" s="10"/>
      <c r="C288" s="10"/>
      <c r="D288" s="10"/>
    </row>
    <row r="289" spans="1:4">
      <c r="A289" s="10"/>
      <c r="B289" s="10"/>
      <c r="C289" s="10"/>
      <c r="D289" s="10"/>
    </row>
    <row r="290" spans="1:4">
      <c r="A290" s="10"/>
      <c r="B290" s="10"/>
      <c r="C290" s="10"/>
      <c r="D290" s="10"/>
    </row>
    <row r="291" spans="1:4">
      <c r="A291" s="10"/>
      <c r="B291" s="10"/>
      <c r="C291" s="10"/>
      <c r="D291" s="10"/>
    </row>
    <row r="292" spans="1:4">
      <c r="A292" s="10"/>
      <c r="B292" s="10"/>
      <c r="C292" s="10"/>
      <c r="D292" s="10"/>
    </row>
    <row r="293" spans="1:4">
      <c r="A293" s="10"/>
      <c r="B293" s="10"/>
      <c r="C293" s="10"/>
      <c r="D293" s="10"/>
    </row>
    <row r="294" spans="1:4">
      <c r="A294" s="10"/>
      <c r="B294" s="10"/>
      <c r="C294" s="10"/>
      <c r="D294" s="10"/>
    </row>
    <row r="295" spans="1:4">
      <c r="A295" s="10"/>
      <c r="B295" s="10"/>
      <c r="C295" s="10"/>
      <c r="D295" s="10"/>
    </row>
    <row r="296" spans="1:4">
      <c r="A296" s="10"/>
      <c r="B296" s="10"/>
      <c r="C296" s="10"/>
      <c r="D296" s="10"/>
    </row>
    <row r="297" spans="1:4">
      <c r="A297" s="10"/>
      <c r="B297" s="10"/>
      <c r="C297" s="10"/>
      <c r="D297" s="10"/>
    </row>
    <row r="298" spans="1:4">
      <c r="A298" s="10"/>
      <c r="B298" s="10"/>
      <c r="C298" s="10"/>
      <c r="D298" s="10"/>
    </row>
    <row r="299" spans="1:4">
      <c r="A299" s="10"/>
      <c r="B299" s="10"/>
      <c r="C299" s="10"/>
      <c r="D299" s="10"/>
    </row>
    <row r="300" spans="1:4">
      <c r="A300" s="10"/>
      <c r="B300" s="10"/>
      <c r="C300" s="10"/>
      <c r="D300" s="10"/>
    </row>
    <row r="301" spans="1:4">
      <c r="A301" s="10"/>
      <c r="B301" s="10"/>
      <c r="C301" s="10"/>
      <c r="D301" s="10"/>
    </row>
    <row r="302" spans="1:4">
      <c r="A302" s="10"/>
      <c r="B302" s="10"/>
      <c r="C302" s="10"/>
      <c r="D302" s="10"/>
    </row>
    <row r="303" spans="1:4">
      <c r="A303" s="10"/>
      <c r="B303" s="10"/>
      <c r="C303" s="10"/>
      <c r="D303" s="10"/>
    </row>
    <row r="304" spans="1:4">
      <c r="A304" s="10"/>
      <c r="B304" s="10"/>
      <c r="C304" s="10"/>
      <c r="D304" s="10"/>
    </row>
    <row r="305" spans="1:4">
      <c r="A305" s="10"/>
      <c r="B305" s="10"/>
      <c r="C305" s="10"/>
      <c r="D305" s="10"/>
    </row>
    <row r="306" spans="1:4">
      <c r="A306" s="10"/>
      <c r="B306" s="10"/>
      <c r="C306" s="10"/>
      <c r="D306" s="10"/>
    </row>
    <row r="307" spans="1:4">
      <c r="A307" s="10"/>
      <c r="B307" s="10"/>
      <c r="C307" s="10"/>
      <c r="D307" s="10"/>
    </row>
    <row r="308" spans="1:4">
      <c r="A308" s="10"/>
      <c r="B308" s="10"/>
      <c r="C308" s="10"/>
      <c r="D308" s="10"/>
    </row>
    <row r="309" spans="1:4">
      <c r="A309" s="10"/>
      <c r="B309" s="10"/>
      <c r="C309" s="10"/>
      <c r="D309" s="10"/>
    </row>
    <row r="310" spans="1:4">
      <c r="A310" s="10"/>
      <c r="B310" s="10"/>
      <c r="C310" s="10"/>
      <c r="D310" s="10"/>
    </row>
    <row r="311" spans="1:4">
      <c r="A311" s="10"/>
      <c r="B311" s="10"/>
      <c r="C311" s="10"/>
      <c r="D311" s="10"/>
    </row>
    <row r="312" spans="1:4">
      <c r="A312" s="10"/>
      <c r="B312" s="10"/>
      <c r="C312" s="10"/>
      <c r="D312" s="10"/>
    </row>
    <row r="313" spans="1:4">
      <c r="A313" s="10"/>
      <c r="B313" s="10"/>
      <c r="C313" s="10"/>
      <c r="D313" s="10"/>
    </row>
    <row r="314" spans="1:4">
      <c r="A314" s="10"/>
      <c r="B314" s="10"/>
      <c r="C314" s="10"/>
      <c r="D314" s="10"/>
    </row>
    <row r="315" spans="1:4">
      <c r="A315" s="10"/>
      <c r="B315" s="10"/>
      <c r="C315" s="10"/>
      <c r="D315" s="10"/>
    </row>
    <row r="316" spans="1:4">
      <c r="A316" s="10"/>
      <c r="B316" s="10"/>
      <c r="C316" s="10"/>
      <c r="D316" s="10"/>
    </row>
    <row r="317" spans="1:4">
      <c r="A317" s="10"/>
      <c r="B317" s="10"/>
      <c r="C317" s="10"/>
      <c r="D317" s="10"/>
    </row>
    <row r="318" spans="1:4">
      <c r="A318" s="10"/>
      <c r="B318" s="10"/>
      <c r="C318" s="10"/>
      <c r="D318" s="10"/>
    </row>
    <row r="319" spans="1:4">
      <c r="A319" s="10"/>
      <c r="B319" s="10"/>
      <c r="C319" s="10"/>
      <c r="D319" s="10"/>
    </row>
    <row r="320" spans="1:4">
      <c r="A320" s="10"/>
      <c r="B320" s="10"/>
      <c r="C320" s="10"/>
      <c r="D320" s="10"/>
    </row>
    <row r="321" spans="1:4">
      <c r="A321" s="10"/>
      <c r="B321" s="10"/>
      <c r="C321" s="10"/>
      <c r="D321" s="10"/>
    </row>
    <row r="322" spans="1:4">
      <c r="A322" s="10"/>
      <c r="B322" s="10"/>
      <c r="C322" s="10"/>
      <c r="D322" s="10"/>
    </row>
    <row r="323" spans="1:4">
      <c r="A323" s="10"/>
      <c r="B323" s="10"/>
      <c r="C323" s="10"/>
      <c r="D323" s="10"/>
    </row>
    <row r="324" spans="1:4">
      <c r="A324" s="10"/>
      <c r="B324" s="10"/>
      <c r="C324" s="10"/>
      <c r="D324" s="10"/>
    </row>
    <row r="325" spans="1:4">
      <c r="A325" s="10"/>
      <c r="B325" s="10"/>
      <c r="C325" s="10"/>
      <c r="D325" s="10"/>
    </row>
    <row r="326" spans="1:4">
      <c r="A326" s="10"/>
      <c r="B326" s="10"/>
      <c r="C326" s="10"/>
      <c r="D326" s="10"/>
    </row>
    <row r="327" spans="1:4">
      <c r="A327" s="10"/>
      <c r="B327" s="10"/>
      <c r="C327" s="10"/>
      <c r="D327" s="10"/>
    </row>
    <row r="328" spans="1:4">
      <c r="A328" s="10"/>
      <c r="B328" s="10"/>
      <c r="C328" s="10"/>
      <c r="D328" s="10"/>
    </row>
    <row r="329" spans="1:4">
      <c r="A329" s="10"/>
      <c r="B329" s="10"/>
      <c r="C329" s="10"/>
      <c r="D329" s="10"/>
    </row>
    <row r="330" spans="1:4">
      <c r="A330" s="10"/>
      <c r="B330" s="10"/>
      <c r="C330" s="10"/>
      <c r="D330" s="10"/>
    </row>
    <row r="331" spans="1:4">
      <c r="A331" s="10"/>
      <c r="B331" s="10"/>
      <c r="C331" s="10"/>
      <c r="D331" s="10"/>
    </row>
    <row r="332" spans="1:4">
      <c r="A332" s="10"/>
      <c r="B332" s="10"/>
      <c r="C332" s="10"/>
      <c r="D332" s="10"/>
    </row>
    <row r="333" spans="1:4">
      <c r="A333" s="10"/>
      <c r="B333" s="10"/>
      <c r="C333" s="10"/>
      <c r="D333" s="10"/>
    </row>
    <row r="334" spans="1:4">
      <c r="A334" s="10"/>
      <c r="B334" s="10"/>
      <c r="C334" s="10"/>
      <c r="D334" s="10"/>
    </row>
    <row r="335" spans="1:4">
      <c r="A335" s="10"/>
      <c r="B335" s="10"/>
      <c r="C335" s="10"/>
      <c r="D335" s="10"/>
    </row>
    <row r="336" spans="1:4">
      <c r="A336" s="10"/>
      <c r="B336" s="10"/>
      <c r="C336" s="10"/>
      <c r="D336" s="10"/>
    </row>
    <row r="337" spans="1:4">
      <c r="A337" s="10"/>
      <c r="B337" s="10"/>
      <c r="C337" s="10"/>
      <c r="D337" s="10"/>
    </row>
    <row r="338" spans="1:4">
      <c r="A338" s="10"/>
      <c r="B338" s="10"/>
      <c r="C338" s="10"/>
      <c r="D338" s="10"/>
    </row>
    <row r="339" spans="1:4">
      <c r="A339" s="10"/>
      <c r="B339" s="10"/>
      <c r="C339" s="10"/>
      <c r="D339" s="10"/>
    </row>
    <row r="340" spans="1:4">
      <c r="A340" s="10"/>
      <c r="B340" s="10"/>
      <c r="C340" s="10"/>
      <c r="D340" s="10"/>
    </row>
    <row r="341" spans="1:4">
      <c r="A341" s="10"/>
      <c r="B341" s="10"/>
      <c r="C341" s="10"/>
      <c r="D341" s="10"/>
    </row>
    <row r="342" spans="1:4">
      <c r="A342" s="10"/>
      <c r="B342" s="10"/>
      <c r="C342" s="10"/>
      <c r="D342" s="10"/>
    </row>
    <row r="343" spans="1:4">
      <c r="A343" s="10"/>
      <c r="B343" s="10"/>
      <c r="C343" s="10"/>
      <c r="D343" s="10"/>
    </row>
    <row r="344" spans="1:4">
      <c r="A344" s="10"/>
      <c r="B344" s="10"/>
      <c r="C344" s="10"/>
      <c r="D344" s="10"/>
    </row>
    <row r="345" spans="1:4">
      <c r="A345" s="10"/>
      <c r="B345" s="10"/>
      <c r="C345" s="10"/>
      <c r="D345" s="10"/>
    </row>
    <row r="346" spans="1:4">
      <c r="A346" s="10"/>
      <c r="B346" s="10"/>
      <c r="C346" s="10"/>
      <c r="D346" s="10"/>
    </row>
    <row r="347" spans="1:4">
      <c r="A347" s="10"/>
      <c r="B347" s="10"/>
      <c r="C347" s="10"/>
      <c r="D347" s="10"/>
    </row>
    <row r="348" spans="1:4">
      <c r="A348" s="10"/>
      <c r="B348" s="10"/>
      <c r="C348" s="10"/>
      <c r="D348" s="10"/>
    </row>
    <row r="349" spans="1:4">
      <c r="A349" s="10"/>
      <c r="B349" s="10"/>
      <c r="C349" s="10"/>
      <c r="D349" s="10"/>
    </row>
    <row r="350" spans="1:4">
      <c r="A350" s="10"/>
      <c r="B350" s="10"/>
      <c r="C350" s="10"/>
      <c r="D350" s="10"/>
    </row>
    <row r="351" spans="1:4">
      <c r="A351" s="10"/>
      <c r="B351" s="10"/>
      <c r="C351" s="10"/>
      <c r="D351" s="10"/>
    </row>
    <row r="352" spans="1:4">
      <c r="A352" s="10"/>
      <c r="B352" s="10"/>
      <c r="C352" s="10"/>
      <c r="D352" s="10"/>
    </row>
    <row r="353" spans="1:4">
      <c r="A353" s="10"/>
      <c r="B353" s="10"/>
      <c r="C353" s="10"/>
      <c r="D353" s="10"/>
    </row>
    <row r="354" spans="1:4">
      <c r="A354" s="10"/>
      <c r="B354" s="10"/>
      <c r="C354" s="10"/>
      <c r="D354" s="10"/>
    </row>
    <row r="355" spans="1:4">
      <c r="A355" s="10"/>
      <c r="B355" s="10"/>
      <c r="C355" s="10"/>
      <c r="D355" s="10"/>
    </row>
    <row r="356" spans="1:4">
      <c r="A356" s="10"/>
      <c r="B356" s="10"/>
      <c r="C356" s="10"/>
      <c r="D356" s="10"/>
    </row>
    <row r="357" spans="1:4">
      <c r="A357" s="10"/>
      <c r="B357" s="10"/>
      <c r="C357" s="10"/>
      <c r="D357" s="10"/>
    </row>
    <row r="358" spans="1:4">
      <c r="A358" s="10"/>
      <c r="B358" s="10"/>
      <c r="C358" s="10"/>
      <c r="D358" s="10"/>
    </row>
    <row r="359" spans="1:4">
      <c r="A359" s="10"/>
      <c r="B359" s="10"/>
      <c r="C359" s="10"/>
      <c r="D359" s="10"/>
    </row>
    <row r="360" spans="1:4">
      <c r="A360" s="10"/>
      <c r="B360" s="10"/>
      <c r="C360" s="10"/>
      <c r="D360" s="10"/>
    </row>
    <row r="361" spans="1:4">
      <c r="A361" s="10"/>
      <c r="B361" s="10"/>
      <c r="C361" s="10"/>
      <c r="D361" s="10"/>
    </row>
    <row r="362" spans="1:4">
      <c r="A362" s="10"/>
      <c r="B362" s="10"/>
      <c r="C362" s="10"/>
      <c r="D362" s="10"/>
    </row>
    <row r="363" spans="1:4">
      <c r="A363" s="10"/>
      <c r="B363" s="10"/>
      <c r="C363" s="10"/>
      <c r="D363" s="10"/>
    </row>
    <row r="364" spans="1:4">
      <c r="A364" s="10"/>
      <c r="B364" s="10"/>
      <c r="C364" s="10"/>
      <c r="D364" s="10"/>
    </row>
    <row r="365" spans="1:4">
      <c r="A365" s="10"/>
      <c r="B365" s="10"/>
      <c r="C365" s="10"/>
      <c r="D365" s="10"/>
    </row>
    <row r="366" spans="1:4">
      <c r="A366" s="10"/>
      <c r="B366" s="10"/>
      <c r="C366" s="10"/>
      <c r="D366" s="10"/>
    </row>
    <row r="367" spans="1:4">
      <c r="A367" s="10"/>
      <c r="B367" s="10"/>
      <c r="C367" s="10"/>
      <c r="D367" s="10"/>
    </row>
    <row r="368" spans="1:4">
      <c r="A368" s="10"/>
      <c r="B368" s="10"/>
      <c r="C368" s="10"/>
      <c r="D368" s="10"/>
    </row>
    <row r="369" spans="1:4">
      <c r="A369" s="10"/>
      <c r="B369" s="10"/>
      <c r="C369" s="10"/>
      <c r="D369" s="10"/>
    </row>
    <row r="370" spans="1:4">
      <c r="A370" s="10"/>
      <c r="B370" s="10"/>
      <c r="C370" s="10"/>
      <c r="D370" s="10"/>
    </row>
    <row r="371" spans="1:4">
      <c r="A371" s="10"/>
      <c r="B371" s="10"/>
      <c r="C371" s="10"/>
      <c r="D371" s="10"/>
    </row>
    <row r="372" spans="1:4">
      <c r="A372" s="10"/>
      <c r="B372" s="10"/>
      <c r="C372" s="10"/>
      <c r="D372" s="10"/>
    </row>
    <row r="373" spans="1:4">
      <c r="A373" s="10"/>
      <c r="B373" s="10"/>
      <c r="C373" s="10"/>
      <c r="D373" s="10"/>
    </row>
    <row r="374" spans="1:4">
      <c r="A374" s="10"/>
      <c r="B374" s="10"/>
      <c r="C374" s="10"/>
      <c r="D374" s="10"/>
    </row>
    <row r="375" spans="1:4">
      <c r="A375" s="10"/>
      <c r="B375" s="10"/>
      <c r="C375" s="10"/>
      <c r="D375" s="10"/>
    </row>
    <row r="376" spans="1:4">
      <c r="A376" s="10"/>
      <c r="B376" s="10"/>
      <c r="C376" s="10"/>
      <c r="D376" s="10"/>
    </row>
    <row r="377" spans="1:4">
      <c r="A377" s="10"/>
      <c r="B377" s="10"/>
      <c r="C377" s="10"/>
      <c r="D377" s="10"/>
    </row>
    <row r="378" spans="1:4">
      <c r="A378" s="10"/>
      <c r="B378" s="10"/>
      <c r="C378" s="10"/>
      <c r="D378" s="10"/>
    </row>
    <row r="379" spans="1:4">
      <c r="A379" s="10"/>
      <c r="B379" s="10"/>
      <c r="C379" s="10"/>
      <c r="D379" s="10"/>
    </row>
    <row r="380" spans="1:4">
      <c r="A380" s="10"/>
      <c r="B380" s="10"/>
      <c r="C380" s="10"/>
      <c r="D380" s="10"/>
    </row>
    <row r="381" spans="1:4">
      <c r="A381" s="10"/>
      <c r="B381" s="10"/>
      <c r="C381" s="10"/>
      <c r="D381" s="10"/>
    </row>
    <row r="382" spans="1:4">
      <c r="A382" s="10"/>
      <c r="B382" s="10"/>
      <c r="C382" s="10"/>
      <c r="D382" s="10"/>
    </row>
    <row r="383" spans="1:4">
      <c r="A383" s="10"/>
      <c r="B383" s="10"/>
      <c r="C383" s="10"/>
      <c r="D383" s="10"/>
    </row>
    <row r="384" spans="1:4">
      <c r="A384" s="10"/>
      <c r="B384" s="10"/>
      <c r="C384" s="10"/>
      <c r="D384" s="10"/>
    </row>
    <row r="385" spans="1:4">
      <c r="A385" s="10"/>
      <c r="B385" s="10"/>
      <c r="C385" s="10"/>
      <c r="D385" s="10"/>
    </row>
    <row r="386" spans="1:4">
      <c r="A386" s="10"/>
      <c r="B386" s="10"/>
      <c r="C386" s="10"/>
      <c r="D386" s="10"/>
    </row>
    <row r="387" spans="1:4">
      <c r="A387" s="10"/>
      <c r="B387" s="10"/>
      <c r="C387" s="10"/>
      <c r="D387" s="10"/>
    </row>
    <row r="388" spans="1:4">
      <c r="A388" s="10"/>
      <c r="B388" s="10"/>
      <c r="C388" s="10"/>
      <c r="D388" s="10"/>
    </row>
    <row r="389" spans="1:4">
      <c r="A389" s="10"/>
      <c r="B389" s="10"/>
      <c r="C389" s="10"/>
      <c r="D389" s="1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X389"/>
  <sheetViews>
    <sheetView topLeftCell="D6" zoomScale="120" zoomScaleNormal="120" workbookViewId="0">
      <selection activeCell="R26" sqref="R26"/>
    </sheetView>
  </sheetViews>
  <sheetFormatPr defaultColWidth="9.109375" defaultRowHeight="14.4"/>
  <cols>
    <col min="1" max="1" width="46.5546875" style="1" bestFit="1" customWidth="1"/>
    <col min="2" max="4" width="11.88671875" style="1" customWidth="1"/>
    <col min="5" max="5" width="11.5546875" style="1" bestFit="1" customWidth="1"/>
    <col min="6" max="9" width="11.5546875" style="1" customWidth="1"/>
    <col min="10" max="10" width="11" style="1" customWidth="1"/>
    <col min="11" max="11" width="11.5546875" style="1" customWidth="1"/>
    <col min="12" max="12" width="19.6640625" style="1" customWidth="1"/>
    <col min="13" max="16" width="11.5546875" style="1" customWidth="1"/>
    <col min="17" max="17" width="14.88671875" style="1" customWidth="1"/>
    <col min="18" max="18" width="11.5546875" style="1" customWidth="1"/>
    <col min="19" max="23" width="9.109375" style="1"/>
    <col min="24" max="24" width="9.6640625" style="1" customWidth="1"/>
    <col min="25" max="16384" width="9.109375" style="1"/>
  </cols>
  <sheetData>
    <row r="1" spans="1:17">
      <c r="A1" s="17" t="s">
        <v>6</v>
      </c>
      <c r="B1" s="56"/>
    </row>
    <row r="2" spans="1:17">
      <c r="B2" s="49"/>
    </row>
    <row r="3" spans="1:17" ht="16.2">
      <c r="A3" s="19" t="s">
        <v>13</v>
      </c>
      <c r="B3" s="21">
        <v>1.3806490000000001E-23</v>
      </c>
      <c r="C3" s="17" t="s">
        <v>14</v>
      </c>
    </row>
    <row r="4" spans="1:17" ht="16.8">
      <c r="A4" s="19" t="s">
        <v>19</v>
      </c>
      <c r="B4" s="21">
        <v>6.0221407599999999E+23</v>
      </c>
      <c r="C4" s="17" t="s">
        <v>18</v>
      </c>
      <c r="K4" s="45"/>
      <c r="Q4" s="55"/>
    </row>
    <row r="5" spans="1:17" ht="16.2">
      <c r="A5" s="19" t="s">
        <v>12</v>
      </c>
      <c r="B5" s="4">
        <v>8.3144626181532395</v>
      </c>
      <c r="C5" s="1" t="s">
        <v>0</v>
      </c>
    </row>
    <row r="6" spans="1:17">
      <c r="A6" s="3" t="s">
        <v>1</v>
      </c>
      <c r="B6" s="10">
        <v>233.15</v>
      </c>
      <c r="C6" s="1" t="s">
        <v>2</v>
      </c>
      <c r="J6" s="14"/>
      <c r="K6" s="14"/>
      <c r="L6" s="55"/>
      <c r="M6" s="55"/>
      <c r="N6" s="55"/>
      <c r="O6" s="55"/>
      <c r="P6" s="55"/>
      <c r="Q6" s="55"/>
    </row>
    <row r="7" spans="1:17">
      <c r="A7" s="70" t="s">
        <v>85</v>
      </c>
      <c r="B7" s="4">
        <v>0.40200000000000002</v>
      </c>
      <c r="E7" s="14"/>
      <c r="F7" s="14"/>
      <c r="G7" s="14"/>
      <c r="H7" s="14"/>
      <c r="I7" s="14"/>
    </row>
    <row r="8" spans="1:17" ht="16.2">
      <c r="A8" s="125" t="s">
        <v>16</v>
      </c>
      <c r="B8" s="13">
        <f>6*B7/(SUMPRODUCT(B15:D15,B16:D16,B19:D19^3)*PI())</f>
        <v>9.5104120594613761E-3</v>
      </c>
      <c r="C8" s="17" t="s">
        <v>11</v>
      </c>
      <c r="L8" s="50"/>
      <c r="M8" s="50"/>
      <c r="N8" s="50"/>
      <c r="O8" s="50"/>
      <c r="P8" s="50"/>
    </row>
    <row r="9" spans="1:17" ht="16.2">
      <c r="A9" s="19" t="s">
        <v>17</v>
      </c>
      <c r="B9" s="51">
        <f>B4*10^-30/B8</f>
        <v>6.3321554548300657E-5</v>
      </c>
      <c r="C9" s="20" t="s">
        <v>15</v>
      </c>
      <c r="E9" s="14"/>
      <c r="F9" s="14"/>
      <c r="G9" s="14"/>
      <c r="H9" s="14"/>
      <c r="I9" s="14"/>
      <c r="K9" s="14"/>
    </row>
    <row r="10" spans="1:17">
      <c r="A10" s="3"/>
      <c r="B10" s="5"/>
    </row>
    <row r="11" spans="1:17">
      <c r="A11" s="26" t="s">
        <v>30</v>
      </c>
      <c r="B11" s="5"/>
      <c r="F11" s="57" t="s">
        <v>67</v>
      </c>
      <c r="K11" s="67" t="s">
        <v>79</v>
      </c>
    </row>
    <row r="12" spans="1:17">
      <c r="A12" s="3"/>
      <c r="B12" s="4"/>
    </row>
    <row r="13" spans="1:17" ht="15.6">
      <c r="A13" s="7" t="s">
        <v>4</v>
      </c>
      <c r="B13" s="71" t="s">
        <v>86</v>
      </c>
      <c r="C13" s="72" t="s">
        <v>87</v>
      </c>
      <c r="D13" s="72" t="s">
        <v>88</v>
      </c>
      <c r="F13" s="6" t="s">
        <v>89</v>
      </c>
      <c r="M13" s="58"/>
      <c r="N13" s="58"/>
      <c r="O13" s="58"/>
      <c r="P13" s="58" t="s">
        <v>76</v>
      </c>
      <c r="Q13" s="59">
        <v>1E-4</v>
      </c>
    </row>
    <row r="14" spans="1:17">
      <c r="A14" s="18" t="s">
        <v>8</v>
      </c>
      <c r="B14" s="2">
        <v>1</v>
      </c>
      <c r="C14" s="2">
        <v>2</v>
      </c>
      <c r="D14" s="2">
        <v>3</v>
      </c>
      <c r="F14" s="7" t="s">
        <v>3</v>
      </c>
      <c r="G14" s="8">
        <v>1</v>
      </c>
      <c r="H14" s="8">
        <v>2</v>
      </c>
      <c r="I14" s="8">
        <v>3</v>
      </c>
      <c r="M14" s="58"/>
      <c r="N14" s="58"/>
      <c r="O14" s="58"/>
      <c r="P14" s="58" t="s">
        <v>71</v>
      </c>
      <c r="Q14" s="59">
        <f>Q13*B6</f>
        <v>2.3315000000000002E-2</v>
      </c>
    </row>
    <row r="15" spans="1:17" ht="15.6">
      <c r="A15" s="18" t="s">
        <v>9</v>
      </c>
      <c r="B15" s="12">
        <v>0.1</v>
      </c>
      <c r="C15" s="12">
        <v>0.3</v>
      </c>
      <c r="D15" s="12">
        <v>0.6</v>
      </c>
      <c r="F15" s="9">
        <v>1</v>
      </c>
      <c r="G15" s="13">
        <v>0</v>
      </c>
      <c r="H15" s="13">
        <f>G16</f>
        <v>2.9999999999999997E-4</v>
      </c>
      <c r="I15" s="13">
        <f>G17</f>
        <v>1.15E-2</v>
      </c>
    </row>
    <row r="16" spans="1:17" ht="15.6">
      <c r="A16" s="18" t="s">
        <v>7</v>
      </c>
      <c r="B16" s="12">
        <v>1</v>
      </c>
      <c r="C16" s="12">
        <v>1.6069</v>
      </c>
      <c r="D16" s="12">
        <v>2.0019999999999998</v>
      </c>
      <c r="F16" s="9">
        <v>2</v>
      </c>
      <c r="G16" s="13">
        <v>2.9999999999999997E-4</v>
      </c>
      <c r="H16" s="13">
        <v>0</v>
      </c>
      <c r="I16" s="13">
        <f>H17</f>
        <v>5.1000000000000004E-3</v>
      </c>
      <c r="J16" s="15"/>
      <c r="K16" s="61" t="s">
        <v>70</v>
      </c>
      <c r="L16" s="30" t="s">
        <v>78</v>
      </c>
      <c r="M16" s="124" t="s">
        <v>128</v>
      </c>
      <c r="N16" s="124" t="s">
        <v>129</v>
      </c>
      <c r="O16" s="124" t="s">
        <v>130</v>
      </c>
      <c r="P16" s="124" t="s">
        <v>69</v>
      </c>
      <c r="Q16" s="29"/>
    </row>
    <row r="17" spans="1:24" ht="15.6">
      <c r="A17" s="18" t="s">
        <v>10</v>
      </c>
      <c r="B17" s="12">
        <v>3.7039</v>
      </c>
      <c r="C17" s="12">
        <v>3.5206</v>
      </c>
      <c r="D17" s="12">
        <v>3.6183999999999998</v>
      </c>
      <c r="F17" s="9">
        <v>3</v>
      </c>
      <c r="G17" s="13">
        <v>1.15E-2</v>
      </c>
      <c r="H17" s="13">
        <v>5.1000000000000004E-3</v>
      </c>
      <c r="I17" s="13">
        <v>0</v>
      </c>
      <c r="K17" s="62" t="s">
        <v>72</v>
      </c>
      <c r="L17" s="126">
        <f>B6-2*Q14</f>
        <v>233.10337000000001</v>
      </c>
      <c r="M17" s="77">
        <f>B$17*(1-0.12*EXP(-3*B$18/$L17))</f>
        <v>3.6394417359399953</v>
      </c>
      <c r="N17" s="77">
        <f t="shared" ref="N17:O17" si="0">C$17*(1-0.12*EXP(-3*C$18/$L17))</f>
        <v>3.4846337526503266</v>
      </c>
      <c r="O17" s="77">
        <f t="shared" si="0"/>
        <v>3.5885798593731044</v>
      </c>
      <c r="P17" s="77">
        <v>9.5104120594613761E-3</v>
      </c>
      <c r="Q17" s="128">
        <f>PCSAFTA(L17,P17,B15:D15,B16:D16,B17:D17,B18:D18,G15:I17)</f>
        <v>-3.5752708438498146</v>
      </c>
    </row>
    <row r="18" spans="1:24" ht="15.6">
      <c r="A18" s="18" t="s">
        <v>21</v>
      </c>
      <c r="B18" s="10">
        <v>150.03</v>
      </c>
      <c r="C18" s="10">
        <v>191.42</v>
      </c>
      <c r="D18" s="10">
        <v>208.11</v>
      </c>
      <c r="J18" s="15"/>
      <c r="K18" s="60" t="s">
        <v>73</v>
      </c>
      <c r="L18" s="127">
        <f>B6-Q14</f>
        <v>233.12668500000001</v>
      </c>
      <c r="M18" s="78">
        <f t="shared" ref="M18:M20" si="1">B$17*(1-0.12*EXP(-3*B$18/$L18))</f>
        <v>3.6394292875042602</v>
      </c>
      <c r="N18" s="78">
        <f t="shared" ref="N18:N20" si="2">C$17*(1-0.12*EXP(-3*C$18/$L18))</f>
        <v>3.4846248902355006</v>
      </c>
      <c r="O18" s="78">
        <f t="shared" ref="O18:O20" si="3">D$17*(1-0.12*EXP(-3*D$18/$L18))</f>
        <v>3.5885718706579346</v>
      </c>
      <c r="P18" s="78">
        <v>9.5104120594613761E-3</v>
      </c>
      <c r="Q18" s="129">
        <f>PCSAFTA(L18,P18,B15:D15,B16:D16,B17:D17,B18:D18,G15:I17)</f>
        <v>-3.5744912965701277</v>
      </c>
    </row>
    <row r="19" spans="1:24" ht="15.6">
      <c r="A19" s="18" t="s">
        <v>20</v>
      </c>
      <c r="B19" s="12">
        <f>B17*(1-0.12*EXP(-3*B18/$B6))</f>
        <v>3.6394168391548423</v>
      </c>
      <c r="C19" s="12">
        <f>C17*(1-0.12*EXP(-3*C18/$B6))</f>
        <v>3.484616027410032</v>
      </c>
      <c r="D19" s="12">
        <f>D17*(1-0.12*EXP(-3*D18/$B6))</f>
        <v>3.5885638814010004</v>
      </c>
      <c r="E19" s="55"/>
      <c r="F19" s="55"/>
      <c r="G19" s="55"/>
      <c r="H19" s="55"/>
      <c r="I19" s="55"/>
      <c r="K19" s="60" t="s">
        <v>74</v>
      </c>
      <c r="L19" s="127">
        <f>B6+Q14</f>
        <v>233.173315</v>
      </c>
      <c r="M19" s="78">
        <f t="shared" si="1"/>
        <v>3.639404390891972</v>
      </c>
      <c r="N19" s="78">
        <f t="shared" si="2"/>
        <v>3.4846071641741614</v>
      </c>
      <c r="O19" s="78">
        <f t="shared" si="3"/>
        <v>3.5885558916025326</v>
      </c>
      <c r="P19" s="78">
        <v>9.5104120594613761E-3</v>
      </c>
      <c r="Q19" s="129">
        <f>PCSAFTA(L19,P19,B15:D15,B16:D16,B17:D17,B18:D18,G15:I17)</f>
        <v>-3.5729327297986258</v>
      </c>
    </row>
    <row r="20" spans="1:24">
      <c r="A20" s="22"/>
      <c r="B20" s="12"/>
      <c r="C20" s="12"/>
      <c r="D20" s="12"/>
      <c r="E20" s="50"/>
      <c r="F20" s="50"/>
      <c r="G20" s="50"/>
      <c r="H20" s="50"/>
      <c r="I20" s="50"/>
      <c r="J20" s="14"/>
      <c r="K20" s="60" t="s">
        <v>75</v>
      </c>
      <c r="L20" s="127">
        <f>B6+2*Q14</f>
        <v>233.19663</v>
      </c>
      <c r="M20" s="76">
        <f t="shared" si="1"/>
        <v>3.6393919427158812</v>
      </c>
      <c r="N20" s="76">
        <f t="shared" si="2"/>
        <v>3.4845983005281291</v>
      </c>
      <c r="O20" s="76">
        <f t="shared" si="3"/>
        <v>3.5885479012627628</v>
      </c>
      <c r="P20" s="76">
        <v>9.5104120594613761E-3</v>
      </c>
      <c r="Q20" s="129">
        <f>PCSAFTA(L20,P20,B15:D15,B16:D16,B17:D17,B18:D18,G15:I17)</f>
        <v>-3.5721537101959306</v>
      </c>
    </row>
    <row r="21" spans="1:24">
      <c r="A21" s="41"/>
      <c r="B21" s="12"/>
      <c r="C21" s="12"/>
      <c r="D21" s="12"/>
      <c r="E21" s="14"/>
      <c r="F21" s="14"/>
      <c r="G21" s="14"/>
      <c r="H21" s="14"/>
      <c r="I21" s="14"/>
    </row>
    <row r="22" spans="1:24">
      <c r="B22" s="42"/>
      <c r="C22" s="42"/>
      <c r="D22" s="42"/>
    </row>
    <row r="23" spans="1:24">
      <c r="B23" s="12"/>
      <c r="C23" s="12"/>
      <c r="D23" s="12"/>
      <c r="E23" s="50"/>
      <c r="F23" s="50"/>
      <c r="G23" s="50"/>
      <c r="H23" s="50"/>
      <c r="I23" s="50"/>
      <c r="Q23" s="2">
        <f>(-Q20+8*Q19-8*Q18+Q17)/(12*Q14)</f>
        <v>3.3424120802527747E-2</v>
      </c>
      <c r="X23" s="85" t="s">
        <v>110</v>
      </c>
    </row>
    <row r="24" spans="1:24">
      <c r="A24" s="2"/>
      <c r="B24" s="14"/>
      <c r="C24" s="14"/>
      <c r="D24" s="14"/>
      <c r="E24" s="24"/>
      <c r="F24" s="24"/>
      <c r="G24" s="24"/>
      <c r="H24" s="24"/>
      <c r="I24" s="24"/>
    </row>
    <row r="25" spans="1:24">
      <c r="E25" s="24"/>
      <c r="F25" s="24"/>
      <c r="G25" s="24"/>
      <c r="H25" s="24"/>
      <c r="I25" s="24"/>
    </row>
    <row r="26" spans="1:24">
      <c r="Q26" s="79">
        <f>PCSAFTA(B6,B8,B15:D15,B16:D16,B17:D17,B18:D18,G15:I17)</f>
        <v>-3.5737119252382161</v>
      </c>
      <c r="S26" s="65"/>
    </row>
    <row r="27" spans="1:24">
      <c r="A27" s="2"/>
      <c r="F27" s="2"/>
      <c r="G27" s="2"/>
      <c r="H27" s="2"/>
      <c r="I27" s="2"/>
      <c r="J27" s="46"/>
      <c r="K27" s="46"/>
    </row>
    <row r="28" spans="1:24">
      <c r="F28" s="13"/>
      <c r="G28" s="13"/>
      <c r="H28" s="13"/>
      <c r="I28" s="13"/>
      <c r="J28" s="13"/>
      <c r="K28" s="13"/>
      <c r="Q28" s="1">
        <f>PCSAFTZ(B6,B8,B15:D15,B16:D16,B17:D17,B18:D18,G15:I17)</f>
        <v>1.6404971870127429</v>
      </c>
    </row>
    <row r="29" spans="1:24">
      <c r="F29" s="13"/>
      <c r="G29" s="13"/>
      <c r="H29" s="13"/>
      <c r="I29" s="13"/>
      <c r="J29" s="13"/>
      <c r="K29" s="13"/>
      <c r="L29" s="46"/>
      <c r="M29" s="46"/>
      <c r="N29" s="46"/>
      <c r="O29" s="46"/>
      <c r="P29" s="46"/>
    </row>
    <row r="30" spans="1:24"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R30" s="14"/>
    </row>
    <row r="31" spans="1:24" s="14" customFormat="1">
      <c r="A31" s="10"/>
      <c r="B31" s="2"/>
      <c r="C31" s="28"/>
      <c r="D31" s="28"/>
      <c r="E31" s="28"/>
      <c r="F31" s="28"/>
      <c r="G31" s="28"/>
      <c r="H31" s="28"/>
      <c r="I31" s="28"/>
      <c r="J31" s="1"/>
      <c r="L31" s="13"/>
      <c r="M31" s="13"/>
      <c r="N31" s="13"/>
      <c r="O31" s="3" t="s">
        <v>112</v>
      </c>
      <c r="P31" s="13"/>
      <c r="Q31" s="1">
        <f>-B6*Q23+(Q28-1)</f>
        <v>-7.1523365780966017</v>
      </c>
      <c r="R31" s="68" t="s">
        <v>81</v>
      </c>
      <c r="S31" s="66"/>
      <c r="T31" s="44"/>
    </row>
    <row r="32" spans="1:24">
      <c r="A32" s="10"/>
      <c r="B32" s="2"/>
      <c r="C32" s="28"/>
      <c r="D32" s="28"/>
      <c r="E32" s="28"/>
      <c r="F32" s="28"/>
      <c r="G32" s="28"/>
      <c r="H32" s="28"/>
      <c r="I32" s="28"/>
    </row>
    <row r="33" spans="1:18">
      <c r="A33" s="10"/>
      <c r="B33" s="2"/>
      <c r="C33" s="28"/>
      <c r="D33" s="28"/>
      <c r="E33" s="28"/>
      <c r="F33" s="28"/>
      <c r="G33" s="28"/>
      <c r="H33" s="28"/>
      <c r="I33" s="28"/>
      <c r="J33" s="13"/>
      <c r="K33" s="13"/>
      <c r="L33" s="13"/>
      <c r="M33" s="13"/>
      <c r="N33" s="13"/>
      <c r="O33" s="13"/>
      <c r="P33" s="13"/>
    </row>
    <row r="34" spans="1:18">
      <c r="A34" s="10"/>
      <c r="B34" s="2"/>
      <c r="C34" s="28"/>
      <c r="D34" s="28"/>
      <c r="E34" s="28"/>
      <c r="F34" s="28"/>
      <c r="G34" s="28"/>
      <c r="H34" s="28"/>
      <c r="I34" s="28"/>
      <c r="J34" s="13"/>
      <c r="L34" s="13"/>
      <c r="M34" s="13"/>
      <c r="N34" s="13"/>
      <c r="O34" s="87" t="s">
        <v>113</v>
      </c>
      <c r="P34" s="13"/>
      <c r="Q34" s="1">
        <f>-B6*(Q23+Q26/B6)+LN(Q28)</f>
        <v>-3.7241224811669333</v>
      </c>
      <c r="R34" s="68" t="s">
        <v>82</v>
      </c>
    </row>
    <row r="35" spans="1:18">
      <c r="A35" s="10"/>
      <c r="B35" s="2"/>
      <c r="C35" s="28"/>
      <c r="D35" s="28"/>
      <c r="E35" s="28"/>
      <c r="F35" s="28"/>
      <c r="G35" s="28"/>
      <c r="H35" s="28"/>
      <c r="I35" s="28"/>
      <c r="J35" s="13"/>
      <c r="K35" s="13"/>
      <c r="L35" s="13"/>
      <c r="M35" s="13"/>
      <c r="N35" s="13"/>
      <c r="O35" s="13"/>
      <c r="P35" s="13"/>
    </row>
    <row r="36" spans="1:18">
      <c r="A36" s="10"/>
      <c r="B36" s="10"/>
      <c r="C36" s="10"/>
      <c r="D36" s="10"/>
      <c r="J36" s="13"/>
      <c r="K36" s="13"/>
      <c r="L36" s="13"/>
      <c r="M36" s="13"/>
      <c r="N36" s="13"/>
      <c r="O36" s="13"/>
      <c r="P36" s="13"/>
    </row>
    <row r="37" spans="1:18">
      <c r="A37" s="10"/>
      <c r="B37" s="10"/>
      <c r="C37" s="40"/>
      <c r="D37" s="40"/>
      <c r="E37" s="40"/>
      <c r="F37" s="40"/>
      <c r="G37" s="40"/>
      <c r="H37" s="40"/>
      <c r="I37" s="40"/>
      <c r="O37" s="87" t="s">
        <v>114</v>
      </c>
      <c r="Q37" s="1">
        <f>Q26+(Q28-1)-LN(Q28)</f>
        <v>-3.4282140969296684</v>
      </c>
      <c r="R37" s="68" t="s">
        <v>83</v>
      </c>
    </row>
    <row r="38" spans="1:18">
      <c r="A38" s="10"/>
      <c r="B38" s="10"/>
      <c r="C38" s="40"/>
      <c r="D38" s="40"/>
      <c r="E38" s="40"/>
      <c r="F38" s="40"/>
      <c r="G38" s="40"/>
      <c r="H38" s="40"/>
      <c r="I38" s="40"/>
    </row>
    <row r="39" spans="1:18">
      <c r="A39" s="10"/>
      <c r="B39" s="10"/>
      <c r="C39" s="40"/>
      <c r="D39" s="40"/>
      <c r="E39" s="40"/>
      <c r="F39" s="40"/>
      <c r="G39" s="40"/>
      <c r="H39" s="40"/>
      <c r="I39" s="40"/>
      <c r="J39" s="2"/>
      <c r="K39" s="2"/>
      <c r="L39" s="2"/>
      <c r="M39" s="2"/>
      <c r="N39" s="2"/>
      <c r="O39" s="2"/>
      <c r="P39" s="2"/>
    </row>
    <row r="40" spans="1:18">
      <c r="A40" s="10"/>
      <c r="B40" s="10"/>
      <c r="C40" s="40"/>
      <c r="D40" s="40"/>
      <c r="E40" s="40"/>
      <c r="F40" s="40"/>
      <c r="G40" s="40"/>
      <c r="H40" s="40"/>
      <c r="I40" s="40"/>
      <c r="J40" s="13"/>
      <c r="K40" s="13"/>
      <c r="L40" s="13"/>
      <c r="M40" s="13"/>
      <c r="N40" s="13"/>
      <c r="O40" s="13"/>
      <c r="P40" s="13"/>
    </row>
    <row r="41" spans="1:18">
      <c r="A41" s="10"/>
      <c r="B41" s="10"/>
      <c r="C41" s="40"/>
      <c r="D41" s="40"/>
      <c r="E41" s="40"/>
      <c r="F41" s="40"/>
      <c r="G41" s="40"/>
      <c r="H41" s="40"/>
      <c r="I41" s="40"/>
      <c r="J41" s="13"/>
      <c r="K41" s="13"/>
      <c r="L41" s="13"/>
      <c r="M41" s="13"/>
      <c r="N41" s="13"/>
      <c r="O41" s="13"/>
      <c r="P41" s="13"/>
    </row>
    <row r="42" spans="1:18">
      <c r="A42" s="10"/>
      <c r="B42" s="10"/>
      <c r="C42" s="40"/>
      <c r="D42" s="40"/>
      <c r="E42" s="40"/>
      <c r="F42" s="40"/>
      <c r="G42" s="40"/>
      <c r="H42" s="40"/>
      <c r="I42" s="40"/>
      <c r="J42" s="13"/>
      <c r="K42" s="13"/>
      <c r="L42" s="13"/>
      <c r="M42" s="13"/>
      <c r="N42" s="13"/>
      <c r="O42" s="13"/>
      <c r="P42" s="13"/>
    </row>
    <row r="43" spans="1:18">
      <c r="A43" s="10"/>
      <c r="B43" s="10"/>
      <c r="C43" s="40"/>
      <c r="D43" s="40"/>
      <c r="E43" s="40"/>
      <c r="F43" s="40"/>
      <c r="G43" s="40"/>
      <c r="H43" s="40"/>
      <c r="I43" s="40"/>
    </row>
    <row r="44" spans="1:18">
      <c r="A44" s="10"/>
      <c r="B44" s="10"/>
      <c r="C44" s="10"/>
      <c r="D44" s="10"/>
    </row>
    <row r="45" spans="1:18">
      <c r="A45" s="10"/>
      <c r="B45" s="10"/>
      <c r="C45" s="13"/>
      <c r="D45" s="13"/>
      <c r="E45" s="13"/>
      <c r="F45" s="13"/>
      <c r="G45" s="13"/>
      <c r="H45" s="13"/>
      <c r="I45" s="13"/>
      <c r="J45" s="2"/>
      <c r="K45" s="2"/>
      <c r="L45" s="2"/>
      <c r="M45" s="2"/>
      <c r="N45" s="2"/>
      <c r="O45" s="2"/>
      <c r="P45" s="2"/>
    </row>
    <row r="46" spans="1:18">
      <c r="A46" s="10"/>
      <c r="B46" s="10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8">
      <c r="A47" s="10"/>
      <c r="B47" s="10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8">
      <c r="A48" s="10"/>
      <c r="B48" s="10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9">
      <c r="A49" s="10"/>
      <c r="B49" s="10"/>
      <c r="C49" s="13"/>
      <c r="D49" s="13"/>
      <c r="E49" s="13"/>
      <c r="F49" s="13"/>
      <c r="G49" s="13"/>
      <c r="H49" s="13"/>
      <c r="I49" s="13"/>
    </row>
    <row r="50" spans="1:9">
      <c r="A50" s="10"/>
      <c r="B50" s="10"/>
      <c r="C50" s="13"/>
      <c r="D50" s="13"/>
      <c r="E50" s="13"/>
      <c r="F50" s="13"/>
      <c r="G50" s="13"/>
      <c r="H50" s="13"/>
      <c r="I50" s="13"/>
    </row>
    <row r="51" spans="1:9">
      <c r="A51" s="10"/>
      <c r="B51" s="10"/>
      <c r="C51" s="13"/>
      <c r="D51" s="13"/>
      <c r="E51" s="13"/>
      <c r="F51" s="13"/>
      <c r="G51" s="13"/>
      <c r="H51" s="13"/>
      <c r="I51" s="13"/>
    </row>
    <row r="52" spans="1:9">
      <c r="A52" s="10"/>
      <c r="B52" s="10"/>
      <c r="C52" s="13"/>
      <c r="D52" s="13"/>
      <c r="E52" s="13"/>
      <c r="F52" s="13"/>
      <c r="G52" s="13"/>
      <c r="H52" s="13"/>
      <c r="I52" s="13"/>
    </row>
    <row r="53" spans="1:9">
      <c r="A53" s="10"/>
      <c r="B53" s="10"/>
      <c r="C53" s="13"/>
      <c r="D53" s="13"/>
      <c r="E53" s="13"/>
      <c r="F53" s="13"/>
      <c r="G53" s="13"/>
      <c r="H53" s="13"/>
      <c r="I53" s="13"/>
    </row>
    <row r="54" spans="1:9">
      <c r="A54" s="10"/>
      <c r="B54" s="10"/>
      <c r="C54" s="10"/>
      <c r="D54" s="10"/>
    </row>
    <row r="55" spans="1:9">
      <c r="A55" s="10"/>
      <c r="B55" s="10"/>
      <c r="C55" s="10"/>
      <c r="D55" s="10"/>
    </row>
    <row r="56" spans="1:9">
      <c r="A56" s="10"/>
      <c r="B56" s="10"/>
      <c r="C56" s="10"/>
      <c r="D56" s="10"/>
    </row>
    <row r="57" spans="1:9">
      <c r="A57" s="10"/>
      <c r="B57" s="10"/>
      <c r="C57" s="10"/>
      <c r="D57" s="10"/>
    </row>
    <row r="58" spans="1:9">
      <c r="A58" s="10"/>
      <c r="B58" s="10"/>
      <c r="C58" s="10"/>
      <c r="D58" s="10"/>
    </row>
    <row r="59" spans="1:9">
      <c r="A59" s="10"/>
      <c r="B59" s="10"/>
      <c r="C59" s="10"/>
      <c r="D59" s="10"/>
    </row>
    <row r="60" spans="1:9">
      <c r="A60" s="10"/>
      <c r="B60" s="10"/>
      <c r="C60" s="10"/>
      <c r="D60" s="10"/>
    </row>
    <row r="61" spans="1:9">
      <c r="A61" s="10"/>
      <c r="B61" s="10"/>
      <c r="C61" s="10"/>
      <c r="D61" s="10"/>
    </row>
    <row r="62" spans="1:9">
      <c r="A62" s="10"/>
      <c r="B62" s="10"/>
      <c r="C62" s="10"/>
      <c r="D62" s="10"/>
    </row>
    <row r="63" spans="1:9">
      <c r="A63" s="10"/>
      <c r="B63" s="10"/>
      <c r="C63" s="10"/>
      <c r="D63" s="10"/>
    </row>
    <row r="64" spans="1:9">
      <c r="A64" s="10"/>
      <c r="B64" s="10"/>
      <c r="C64" s="10"/>
      <c r="D64" s="10"/>
    </row>
    <row r="65" spans="1:4">
      <c r="A65" s="10"/>
      <c r="B65" s="10"/>
      <c r="C65" s="10"/>
      <c r="D65" s="10"/>
    </row>
    <row r="66" spans="1:4">
      <c r="A66" s="10"/>
      <c r="B66" s="10"/>
      <c r="C66" s="10"/>
      <c r="D66" s="10"/>
    </row>
    <row r="67" spans="1:4">
      <c r="A67" s="10"/>
      <c r="B67" s="10"/>
      <c r="C67" s="10"/>
      <c r="D67" s="10"/>
    </row>
    <row r="68" spans="1:4">
      <c r="A68" s="10"/>
      <c r="B68" s="10"/>
      <c r="C68" s="10"/>
      <c r="D68" s="10"/>
    </row>
    <row r="69" spans="1:4">
      <c r="A69" s="10"/>
      <c r="B69" s="10"/>
      <c r="C69" s="10"/>
      <c r="D69" s="10"/>
    </row>
    <row r="70" spans="1:4">
      <c r="A70" s="10"/>
      <c r="B70" s="10"/>
      <c r="C70" s="10"/>
      <c r="D70" s="10"/>
    </row>
    <row r="71" spans="1:4">
      <c r="A71" s="10"/>
      <c r="B71" s="10"/>
      <c r="C71" s="10"/>
      <c r="D71" s="10"/>
    </row>
    <row r="72" spans="1:4">
      <c r="A72" s="10"/>
      <c r="B72" s="10"/>
      <c r="C72" s="10"/>
      <c r="D72" s="10"/>
    </row>
    <row r="73" spans="1:4">
      <c r="A73" s="10"/>
      <c r="B73" s="10"/>
      <c r="C73" s="10"/>
      <c r="D73" s="10"/>
    </row>
    <row r="74" spans="1:4">
      <c r="A74" s="10"/>
      <c r="B74" s="10"/>
      <c r="C74" s="10"/>
      <c r="D74" s="10"/>
    </row>
    <row r="75" spans="1:4">
      <c r="A75" s="10"/>
      <c r="B75" s="10"/>
      <c r="C75" s="10"/>
      <c r="D75" s="10"/>
    </row>
    <row r="76" spans="1:4">
      <c r="A76" s="10"/>
      <c r="B76" s="10"/>
      <c r="C76" s="10"/>
      <c r="D76" s="10"/>
    </row>
    <row r="77" spans="1:4">
      <c r="A77" s="10"/>
      <c r="B77" s="10"/>
      <c r="C77" s="10"/>
      <c r="D77" s="10"/>
    </row>
    <row r="78" spans="1:4">
      <c r="A78" s="10"/>
      <c r="B78" s="10"/>
      <c r="C78" s="10"/>
      <c r="D78" s="10"/>
    </row>
    <row r="79" spans="1:4">
      <c r="A79" s="10"/>
      <c r="B79" s="10"/>
      <c r="C79" s="10"/>
      <c r="D79" s="10"/>
    </row>
    <row r="80" spans="1:4">
      <c r="A80" s="10"/>
      <c r="B80" s="10"/>
      <c r="C80" s="10"/>
      <c r="D80" s="10"/>
    </row>
    <row r="81" spans="1:4">
      <c r="A81" s="10"/>
      <c r="B81" s="10"/>
      <c r="C81" s="10"/>
      <c r="D81" s="10"/>
    </row>
    <row r="82" spans="1:4">
      <c r="A82" s="10"/>
      <c r="B82" s="10"/>
      <c r="C82" s="10"/>
      <c r="D82" s="10"/>
    </row>
    <row r="83" spans="1:4">
      <c r="A83" s="10"/>
      <c r="B83" s="10"/>
      <c r="C83" s="10"/>
      <c r="D83" s="10"/>
    </row>
    <row r="84" spans="1:4">
      <c r="A84" s="10"/>
      <c r="B84" s="10"/>
      <c r="C84" s="10"/>
      <c r="D84" s="10"/>
    </row>
    <row r="85" spans="1:4">
      <c r="A85" s="10"/>
      <c r="B85" s="10"/>
      <c r="C85" s="10"/>
      <c r="D85" s="10"/>
    </row>
    <row r="86" spans="1:4">
      <c r="A86" s="10"/>
      <c r="B86" s="10"/>
      <c r="C86" s="10"/>
      <c r="D86" s="10"/>
    </row>
    <row r="87" spans="1:4">
      <c r="A87" s="10"/>
      <c r="B87" s="10"/>
      <c r="C87" s="10"/>
      <c r="D87" s="10"/>
    </row>
    <row r="88" spans="1:4">
      <c r="A88" s="10"/>
      <c r="B88" s="10"/>
      <c r="C88" s="10"/>
      <c r="D88" s="10"/>
    </row>
    <row r="89" spans="1:4">
      <c r="A89" s="10"/>
      <c r="B89" s="10"/>
      <c r="C89" s="10"/>
      <c r="D89" s="10"/>
    </row>
    <row r="90" spans="1:4">
      <c r="A90" s="10"/>
      <c r="B90" s="10"/>
      <c r="C90" s="10"/>
      <c r="D90" s="10"/>
    </row>
    <row r="91" spans="1:4">
      <c r="A91" s="10"/>
      <c r="B91" s="10"/>
      <c r="C91" s="10"/>
      <c r="D91" s="10"/>
    </row>
    <row r="92" spans="1:4">
      <c r="A92" s="10"/>
      <c r="B92" s="10"/>
      <c r="C92" s="10"/>
      <c r="D92" s="10"/>
    </row>
    <row r="93" spans="1:4">
      <c r="A93" s="10"/>
      <c r="B93" s="10"/>
      <c r="C93" s="10"/>
      <c r="D93" s="10"/>
    </row>
    <row r="94" spans="1:4">
      <c r="A94" s="10"/>
      <c r="B94" s="10"/>
      <c r="C94" s="10"/>
      <c r="D94" s="10"/>
    </row>
    <row r="95" spans="1:4">
      <c r="A95" s="10"/>
      <c r="B95" s="10"/>
      <c r="C95" s="10"/>
      <c r="D95" s="10"/>
    </row>
    <row r="96" spans="1:4">
      <c r="A96" s="10"/>
      <c r="B96" s="10"/>
      <c r="C96" s="10"/>
      <c r="D96" s="10"/>
    </row>
    <row r="97" spans="1:4">
      <c r="A97" s="10"/>
      <c r="B97" s="10"/>
      <c r="C97" s="10"/>
      <c r="D97" s="10"/>
    </row>
    <row r="98" spans="1:4">
      <c r="A98" s="10"/>
      <c r="B98" s="10"/>
      <c r="C98" s="10"/>
      <c r="D98" s="10"/>
    </row>
    <row r="99" spans="1:4">
      <c r="A99" s="10"/>
      <c r="B99" s="10"/>
      <c r="C99" s="10"/>
      <c r="D99" s="10"/>
    </row>
    <row r="100" spans="1:4">
      <c r="A100" s="10"/>
      <c r="B100" s="10"/>
      <c r="C100" s="10"/>
      <c r="D100" s="10"/>
    </row>
    <row r="101" spans="1:4">
      <c r="A101" s="10"/>
      <c r="B101" s="10"/>
      <c r="C101" s="10"/>
      <c r="D101" s="10"/>
    </row>
    <row r="102" spans="1:4">
      <c r="A102" s="10"/>
      <c r="B102" s="10"/>
      <c r="C102" s="10"/>
      <c r="D102" s="10"/>
    </row>
    <row r="103" spans="1:4">
      <c r="A103" s="10"/>
      <c r="B103" s="10"/>
      <c r="C103" s="10"/>
      <c r="D103" s="10"/>
    </row>
    <row r="104" spans="1:4">
      <c r="A104" s="10"/>
      <c r="B104" s="10"/>
      <c r="C104" s="10"/>
      <c r="D104" s="10"/>
    </row>
    <row r="105" spans="1:4">
      <c r="A105" s="10"/>
      <c r="B105" s="10"/>
      <c r="C105" s="10"/>
      <c r="D105" s="10"/>
    </row>
    <row r="106" spans="1:4">
      <c r="A106" s="10"/>
      <c r="B106" s="10"/>
      <c r="C106" s="10"/>
      <c r="D106" s="10"/>
    </row>
    <row r="107" spans="1:4">
      <c r="A107" s="10"/>
      <c r="B107" s="10"/>
      <c r="C107" s="10"/>
      <c r="D107" s="10"/>
    </row>
    <row r="108" spans="1:4">
      <c r="A108" s="10"/>
      <c r="B108" s="10"/>
      <c r="C108" s="10"/>
      <c r="D108" s="10"/>
    </row>
    <row r="109" spans="1:4">
      <c r="A109" s="10"/>
      <c r="B109" s="10"/>
      <c r="C109" s="10"/>
      <c r="D109" s="10"/>
    </row>
    <row r="110" spans="1:4">
      <c r="A110" s="10"/>
      <c r="B110" s="10"/>
      <c r="C110" s="10"/>
      <c r="D110" s="10"/>
    </row>
    <row r="111" spans="1:4">
      <c r="A111" s="10"/>
      <c r="B111" s="10"/>
      <c r="C111" s="10"/>
      <c r="D111" s="10"/>
    </row>
    <row r="112" spans="1:4">
      <c r="A112" s="10"/>
      <c r="B112" s="10"/>
      <c r="C112" s="10"/>
      <c r="D112" s="10"/>
    </row>
    <row r="113" spans="1:4">
      <c r="A113" s="10"/>
      <c r="B113" s="10"/>
      <c r="C113" s="10"/>
      <c r="D113" s="10"/>
    </row>
    <row r="114" spans="1:4">
      <c r="A114" s="10"/>
      <c r="B114" s="10"/>
      <c r="C114" s="10"/>
      <c r="D114" s="10"/>
    </row>
    <row r="115" spans="1:4">
      <c r="A115" s="10"/>
      <c r="B115" s="10"/>
      <c r="C115" s="10"/>
      <c r="D115" s="10"/>
    </row>
    <row r="116" spans="1:4">
      <c r="A116" s="10"/>
      <c r="B116" s="10"/>
      <c r="C116" s="10"/>
      <c r="D116" s="10"/>
    </row>
    <row r="117" spans="1:4">
      <c r="A117" s="10"/>
      <c r="B117" s="10"/>
      <c r="C117" s="10"/>
      <c r="D117" s="10"/>
    </row>
    <row r="118" spans="1:4">
      <c r="A118" s="10"/>
      <c r="B118" s="10"/>
      <c r="C118" s="10"/>
      <c r="D118" s="10"/>
    </row>
    <row r="119" spans="1:4">
      <c r="A119" s="10"/>
      <c r="B119" s="10"/>
      <c r="C119" s="10"/>
      <c r="D119" s="10"/>
    </row>
    <row r="120" spans="1:4">
      <c r="A120" s="10"/>
      <c r="B120" s="10"/>
      <c r="C120" s="10"/>
      <c r="D120" s="10"/>
    </row>
    <row r="121" spans="1:4">
      <c r="A121" s="10"/>
      <c r="B121" s="10"/>
      <c r="C121" s="10"/>
      <c r="D121" s="10"/>
    </row>
    <row r="122" spans="1:4">
      <c r="A122" s="10"/>
      <c r="B122" s="10"/>
      <c r="C122" s="10"/>
      <c r="D122" s="10"/>
    </row>
    <row r="123" spans="1:4">
      <c r="A123" s="10"/>
      <c r="B123" s="10"/>
      <c r="C123" s="10"/>
      <c r="D123" s="10"/>
    </row>
    <row r="124" spans="1:4">
      <c r="A124" s="10"/>
      <c r="B124" s="10"/>
      <c r="C124" s="10"/>
      <c r="D124" s="10"/>
    </row>
    <row r="125" spans="1:4">
      <c r="A125" s="10"/>
      <c r="B125" s="10"/>
      <c r="C125" s="10"/>
      <c r="D125" s="10"/>
    </row>
    <row r="126" spans="1:4">
      <c r="A126" s="10"/>
      <c r="B126" s="10"/>
      <c r="C126" s="10"/>
      <c r="D126" s="10"/>
    </row>
    <row r="127" spans="1:4">
      <c r="A127" s="10"/>
      <c r="B127" s="10"/>
      <c r="C127" s="10"/>
      <c r="D127" s="10"/>
    </row>
    <row r="128" spans="1:4">
      <c r="A128" s="10"/>
      <c r="B128" s="10"/>
      <c r="C128" s="10"/>
      <c r="D128" s="10"/>
    </row>
    <row r="129" spans="1:4">
      <c r="A129" s="10"/>
      <c r="B129" s="10"/>
      <c r="C129" s="10"/>
      <c r="D129" s="10"/>
    </row>
    <row r="130" spans="1:4">
      <c r="A130" s="10"/>
      <c r="B130" s="10"/>
      <c r="C130" s="10"/>
      <c r="D130" s="10"/>
    </row>
    <row r="131" spans="1:4">
      <c r="A131" s="10"/>
      <c r="B131" s="10"/>
      <c r="C131" s="10"/>
      <c r="D131" s="10"/>
    </row>
    <row r="132" spans="1:4">
      <c r="A132" s="10"/>
      <c r="B132" s="10"/>
      <c r="C132" s="10"/>
      <c r="D132" s="10"/>
    </row>
    <row r="133" spans="1:4">
      <c r="A133" s="10"/>
      <c r="B133" s="10"/>
      <c r="C133" s="10"/>
      <c r="D133" s="10"/>
    </row>
    <row r="134" spans="1:4">
      <c r="A134" s="10"/>
      <c r="B134" s="10"/>
      <c r="C134" s="10"/>
      <c r="D134" s="10"/>
    </row>
    <row r="135" spans="1:4">
      <c r="A135" s="10"/>
      <c r="B135" s="10"/>
      <c r="C135" s="10"/>
      <c r="D135" s="10"/>
    </row>
    <row r="136" spans="1:4">
      <c r="A136" s="10"/>
      <c r="B136" s="10"/>
      <c r="C136" s="10"/>
      <c r="D136" s="10"/>
    </row>
    <row r="137" spans="1:4">
      <c r="A137" s="10"/>
      <c r="B137" s="10"/>
      <c r="C137" s="10"/>
      <c r="D137" s="10"/>
    </row>
    <row r="138" spans="1:4">
      <c r="A138" s="10"/>
      <c r="B138" s="10"/>
      <c r="C138" s="10"/>
      <c r="D138" s="10"/>
    </row>
    <row r="139" spans="1:4">
      <c r="A139" s="10"/>
      <c r="B139" s="10"/>
      <c r="C139" s="10"/>
      <c r="D139" s="10"/>
    </row>
    <row r="140" spans="1:4">
      <c r="A140" s="10"/>
      <c r="B140" s="10"/>
      <c r="C140" s="10"/>
      <c r="D140" s="10"/>
    </row>
    <row r="141" spans="1:4">
      <c r="A141" s="10"/>
      <c r="B141" s="10"/>
      <c r="C141" s="10"/>
      <c r="D141" s="10"/>
    </row>
    <row r="142" spans="1:4">
      <c r="A142" s="10"/>
      <c r="B142" s="10"/>
      <c r="C142" s="10"/>
      <c r="D142" s="10"/>
    </row>
    <row r="143" spans="1:4">
      <c r="A143" s="10"/>
      <c r="B143" s="10"/>
      <c r="C143" s="10"/>
      <c r="D143" s="10"/>
    </row>
    <row r="144" spans="1:4">
      <c r="A144" s="10"/>
      <c r="B144" s="10"/>
      <c r="C144" s="10"/>
      <c r="D144" s="10"/>
    </row>
    <row r="145" spans="1:4">
      <c r="A145" s="10"/>
      <c r="B145" s="10"/>
      <c r="C145" s="10"/>
      <c r="D145" s="10"/>
    </row>
    <row r="146" spans="1:4">
      <c r="A146" s="10"/>
      <c r="B146" s="10"/>
      <c r="C146" s="10"/>
      <c r="D146" s="10"/>
    </row>
    <row r="147" spans="1:4">
      <c r="A147" s="10"/>
      <c r="B147" s="10"/>
      <c r="C147" s="10"/>
      <c r="D147" s="10"/>
    </row>
    <row r="148" spans="1:4">
      <c r="A148" s="10"/>
      <c r="B148" s="10"/>
      <c r="C148" s="10"/>
      <c r="D148" s="10"/>
    </row>
    <row r="149" spans="1:4">
      <c r="A149" s="10"/>
      <c r="B149" s="10"/>
      <c r="C149" s="10"/>
      <c r="D149" s="10"/>
    </row>
    <row r="150" spans="1:4">
      <c r="A150" s="10"/>
      <c r="B150" s="10"/>
      <c r="C150" s="10"/>
      <c r="D150" s="10"/>
    </row>
    <row r="151" spans="1:4">
      <c r="A151" s="10"/>
      <c r="B151" s="10"/>
      <c r="C151" s="10"/>
      <c r="D151" s="10"/>
    </row>
    <row r="152" spans="1:4">
      <c r="A152" s="10"/>
      <c r="B152" s="10"/>
      <c r="C152" s="10"/>
      <c r="D152" s="10"/>
    </row>
    <row r="153" spans="1:4">
      <c r="A153" s="10"/>
      <c r="B153" s="10"/>
      <c r="C153" s="10"/>
      <c r="D153" s="10"/>
    </row>
    <row r="154" spans="1:4">
      <c r="A154" s="10"/>
      <c r="B154" s="10"/>
      <c r="C154" s="10"/>
      <c r="D154" s="10"/>
    </row>
    <row r="155" spans="1:4">
      <c r="A155" s="10"/>
      <c r="B155" s="10"/>
      <c r="C155" s="10"/>
      <c r="D155" s="10"/>
    </row>
    <row r="156" spans="1:4">
      <c r="A156" s="10"/>
      <c r="B156" s="10"/>
      <c r="C156" s="10"/>
      <c r="D156" s="10"/>
    </row>
    <row r="157" spans="1:4">
      <c r="A157" s="10"/>
      <c r="B157" s="10"/>
      <c r="C157" s="10"/>
      <c r="D157" s="10"/>
    </row>
    <row r="158" spans="1:4">
      <c r="A158" s="10"/>
      <c r="B158" s="10"/>
      <c r="C158" s="10"/>
      <c r="D158" s="10"/>
    </row>
    <row r="159" spans="1:4">
      <c r="A159" s="10"/>
      <c r="B159" s="10"/>
      <c r="C159" s="10"/>
      <c r="D159" s="10"/>
    </row>
    <row r="160" spans="1:4">
      <c r="A160" s="10"/>
      <c r="B160" s="10"/>
      <c r="C160" s="10"/>
      <c r="D160" s="10"/>
    </row>
    <row r="161" spans="1:4">
      <c r="A161" s="10"/>
      <c r="B161" s="10"/>
      <c r="C161" s="10"/>
      <c r="D161" s="10"/>
    </row>
    <row r="162" spans="1:4">
      <c r="A162" s="10"/>
      <c r="B162" s="10"/>
      <c r="C162" s="10"/>
      <c r="D162" s="10"/>
    </row>
    <row r="163" spans="1:4">
      <c r="A163" s="10"/>
      <c r="B163" s="10"/>
      <c r="C163" s="10"/>
      <c r="D163" s="10"/>
    </row>
    <row r="164" spans="1:4">
      <c r="A164" s="10"/>
      <c r="B164" s="10"/>
      <c r="C164" s="10"/>
      <c r="D164" s="10"/>
    </row>
    <row r="165" spans="1:4">
      <c r="A165" s="10"/>
      <c r="B165" s="10"/>
      <c r="C165" s="10"/>
      <c r="D165" s="10"/>
    </row>
    <row r="166" spans="1:4">
      <c r="A166" s="10"/>
      <c r="B166" s="10"/>
      <c r="C166" s="10"/>
      <c r="D166" s="10"/>
    </row>
    <row r="167" spans="1:4">
      <c r="A167" s="10"/>
      <c r="B167" s="10"/>
      <c r="C167" s="10"/>
      <c r="D167" s="10"/>
    </row>
    <row r="168" spans="1:4">
      <c r="A168" s="10"/>
      <c r="B168" s="10"/>
      <c r="C168" s="10"/>
      <c r="D168" s="10"/>
    </row>
    <row r="169" spans="1:4">
      <c r="A169" s="10"/>
      <c r="B169" s="10"/>
      <c r="C169" s="10"/>
      <c r="D169" s="10"/>
    </row>
    <row r="170" spans="1:4">
      <c r="A170" s="10"/>
      <c r="B170" s="10"/>
      <c r="C170" s="10"/>
      <c r="D170" s="10"/>
    </row>
    <row r="171" spans="1:4">
      <c r="A171" s="10"/>
      <c r="B171" s="10"/>
      <c r="C171" s="10"/>
      <c r="D171" s="10"/>
    </row>
    <row r="172" spans="1:4">
      <c r="A172" s="10"/>
      <c r="B172" s="10"/>
      <c r="C172" s="10"/>
      <c r="D172" s="10"/>
    </row>
    <row r="173" spans="1:4">
      <c r="A173" s="10"/>
      <c r="B173" s="10"/>
      <c r="C173" s="10"/>
      <c r="D173" s="10"/>
    </row>
    <row r="174" spans="1:4">
      <c r="A174" s="10"/>
      <c r="B174" s="10"/>
      <c r="C174" s="10"/>
      <c r="D174" s="10"/>
    </row>
    <row r="175" spans="1:4">
      <c r="A175" s="10"/>
      <c r="B175" s="10"/>
      <c r="C175" s="10"/>
      <c r="D175" s="10"/>
    </row>
    <row r="176" spans="1:4">
      <c r="A176" s="10"/>
      <c r="B176" s="10"/>
      <c r="C176" s="10"/>
      <c r="D176" s="10"/>
    </row>
    <row r="177" spans="1:4">
      <c r="A177" s="10"/>
      <c r="B177" s="10"/>
      <c r="C177" s="10"/>
      <c r="D177" s="10"/>
    </row>
    <row r="178" spans="1:4">
      <c r="A178" s="10"/>
      <c r="B178" s="10"/>
      <c r="C178" s="10"/>
      <c r="D178" s="10"/>
    </row>
    <row r="179" spans="1:4">
      <c r="A179" s="10"/>
      <c r="B179" s="10"/>
      <c r="C179" s="10"/>
      <c r="D179" s="10"/>
    </row>
    <row r="180" spans="1:4">
      <c r="A180" s="10"/>
      <c r="B180" s="10"/>
      <c r="C180" s="10"/>
      <c r="D180" s="10"/>
    </row>
    <row r="181" spans="1:4">
      <c r="A181" s="10"/>
      <c r="B181" s="10"/>
      <c r="C181" s="10"/>
      <c r="D181" s="10"/>
    </row>
    <row r="182" spans="1:4">
      <c r="A182" s="10"/>
      <c r="B182" s="10"/>
      <c r="C182" s="10"/>
      <c r="D182" s="10"/>
    </row>
    <row r="183" spans="1:4">
      <c r="A183" s="10"/>
      <c r="B183" s="10"/>
      <c r="C183" s="10"/>
      <c r="D183" s="10"/>
    </row>
    <row r="184" spans="1:4">
      <c r="A184" s="10"/>
      <c r="B184" s="10"/>
      <c r="C184" s="10"/>
      <c r="D184" s="10"/>
    </row>
    <row r="185" spans="1:4">
      <c r="A185" s="10"/>
      <c r="B185" s="10"/>
      <c r="C185" s="10"/>
      <c r="D185" s="10"/>
    </row>
    <row r="186" spans="1:4">
      <c r="A186" s="10"/>
      <c r="B186" s="10"/>
      <c r="C186" s="10"/>
      <c r="D186" s="10"/>
    </row>
    <row r="187" spans="1:4">
      <c r="A187" s="10"/>
      <c r="B187" s="10"/>
      <c r="C187" s="10"/>
      <c r="D187" s="10"/>
    </row>
    <row r="188" spans="1:4">
      <c r="A188" s="10"/>
      <c r="B188" s="10"/>
      <c r="C188" s="10"/>
      <c r="D188" s="10"/>
    </row>
    <row r="189" spans="1:4">
      <c r="A189" s="10"/>
      <c r="B189" s="10"/>
      <c r="C189" s="10"/>
      <c r="D189" s="10"/>
    </row>
    <row r="190" spans="1:4">
      <c r="A190" s="10"/>
      <c r="B190" s="10"/>
      <c r="C190" s="10"/>
      <c r="D190" s="10"/>
    </row>
    <row r="191" spans="1:4">
      <c r="A191" s="10"/>
      <c r="B191" s="10"/>
      <c r="C191" s="10"/>
      <c r="D191" s="10"/>
    </row>
    <row r="192" spans="1:4">
      <c r="A192" s="10"/>
      <c r="B192" s="10"/>
      <c r="C192" s="10"/>
      <c r="D192" s="10"/>
    </row>
    <row r="193" spans="1:4">
      <c r="A193" s="10"/>
      <c r="B193" s="10"/>
      <c r="C193" s="10"/>
      <c r="D193" s="10"/>
    </row>
    <row r="194" spans="1:4">
      <c r="A194" s="10"/>
      <c r="B194" s="10"/>
      <c r="C194" s="10"/>
      <c r="D194" s="10"/>
    </row>
    <row r="195" spans="1:4">
      <c r="A195" s="10"/>
      <c r="B195" s="10"/>
      <c r="C195" s="10"/>
      <c r="D195" s="10"/>
    </row>
    <row r="196" spans="1:4">
      <c r="A196" s="10"/>
      <c r="B196" s="10"/>
      <c r="C196" s="10"/>
      <c r="D196" s="10"/>
    </row>
    <row r="197" spans="1:4">
      <c r="A197" s="10"/>
      <c r="B197" s="10"/>
      <c r="C197" s="10"/>
      <c r="D197" s="10"/>
    </row>
    <row r="198" spans="1:4">
      <c r="A198" s="10"/>
      <c r="B198" s="10"/>
      <c r="C198" s="10"/>
      <c r="D198" s="10"/>
    </row>
    <row r="199" spans="1:4">
      <c r="A199" s="10"/>
      <c r="B199" s="10"/>
      <c r="C199" s="10"/>
      <c r="D199" s="10"/>
    </row>
    <row r="200" spans="1:4">
      <c r="A200" s="10"/>
      <c r="B200" s="10"/>
      <c r="C200" s="10"/>
      <c r="D200" s="10"/>
    </row>
    <row r="201" spans="1:4">
      <c r="A201" s="10"/>
      <c r="B201" s="10"/>
      <c r="C201" s="10"/>
      <c r="D201" s="10"/>
    </row>
    <row r="202" spans="1:4">
      <c r="A202" s="10"/>
      <c r="B202" s="10"/>
      <c r="C202" s="10"/>
      <c r="D202" s="10"/>
    </row>
    <row r="203" spans="1:4">
      <c r="A203" s="10"/>
      <c r="B203" s="10"/>
      <c r="C203" s="10"/>
      <c r="D203" s="10"/>
    </row>
    <row r="204" spans="1:4">
      <c r="A204" s="10"/>
      <c r="B204" s="10"/>
      <c r="C204" s="10"/>
      <c r="D204" s="10"/>
    </row>
    <row r="205" spans="1:4">
      <c r="A205" s="10"/>
      <c r="B205" s="10"/>
      <c r="C205" s="10"/>
      <c r="D205" s="10"/>
    </row>
    <row r="206" spans="1:4">
      <c r="A206" s="10"/>
      <c r="B206" s="10"/>
      <c r="C206" s="10"/>
      <c r="D206" s="10"/>
    </row>
    <row r="207" spans="1:4">
      <c r="A207" s="10"/>
      <c r="B207" s="10"/>
      <c r="C207" s="10"/>
      <c r="D207" s="10"/>
    </row>
    <row r="208" spans="1:4">
      <c r="A208" s="10"/>
      <c r="B208" s="10"/>
      <c r="C208" s="10"/>
      <c r="D208" s="10"/>
    </row>
    <row r="209" spans="1:4">
      <c r="A209" s="10"/>
      <c r="B209" s="10"/>
      <c r="C209" s="10"/>
      <c r="D209" s="10"/>
    </row>
    <row r="210" spans="1:4">
      <c r="A210" s="10"/>
      <c r="B210" s="10"/>
      <c r="C210" s="10"/>
      <c r="D210" s="10"/>
    </row>
    <row r="211" spans="1:4">
      <c r="A211" s="10"/>
      <c r="B211" s="10"/>
      <c r="C211" s="10"/>
      <c r="D211" s="10"/>
    </row>
    <row r="212" spans="1:4">
      <c r="A212" s="10"/>
      <c r="B212" s="10"/>
      <c r="C212" s="10"/>
      <c r="D212" s="10"/>
    </row>
    <row r="213" spans="1:4">
      <c r="A213" s="10"/>
      <c r="B213" s="10"/>
      <c r="C213" s="10"/>
      <c r="D213" s="10"/>
    </row>
    <row r="214" spans="1:4">
      <c r="A214" s="10"/>
      <c r="B214" s="10"/>
      <c r="C214" s="10"/>
      <c r="D214" s="10"/>
    </row>
    <row r="215" spans="1:4">
      <c r="A215" s="10"/>
      <c r="B215" s="10"/>
      <c r="C215" s="10"/>
      <c r="D215" s="10"/>
    </row>
    <row r="216" spans="1:4">
      <c r="A216" s="10"/>
      <c r="B216" s="10"/>
      <c r="C216" s="10"/>
      <c r="D216" s="10"/>
    </row>
    <row r="217" spans="1:4">
      <c r="A217" s="10"/>
      <c r="B217" s="10"/>
      <c r="C217" s="10"/>
      <c r="D217" s="10"/>
    </row>
    <row r="218" spans="1:4">
      <c r="A218" s="10"/>
      <c r="B218" s="10"/>
      <c r="C218" s="10"/>
      <c r="D218" s="10"/>
    </row>
    <row r="219" spans="1:4">
      <c r="A219" s="10"/>
      <c r="B219" s="10"/>
      <c r="C219" s="10"/>
      <c r="D219" s="10"/>
    </row>
    <row r="220" spans="1:4">
      <c r="A220" s="10"/>
      <c r="B220" s="10"/>
      <c r="C220" s="10"/>
      <c r="D220" s="10"/>
    </row>
    <row r="221" spans="1:4">
      <c r="A221" s="10"/>
      <c r="B221" s="10"/>
      <c r="C221" s="10"/>
      <c r="D221" s="10"/>
    </row>
    <row r="222" spans="1:4">
      <c r="A222" s="10"/>
      <c r="B222" s="10"/>
      <c r="C222" s="10"/>
      <c r="D222" s="10"/>
    </row>
    <row r="223" spans="1:4">
      <c r="A223" s="10"/>
      <c r="B223" s="10"/>
      <c r="C223" s="10"/>
      <c r="D223" s="10"/>
    </row>
    <row r="224" spans="1:4">
      <c r="A224" s="10"/>
      <c r="B224" s="10"/>
      <c r="C224" s="10"/>
      <c r="D224" s="10"/>
    </row>
    <row r="225" spans="1:4">
      <c r="A225" s="10"/>
      <c r="B225" s="10"/>
      <c r="C225" s="10"/>
      <c r="D225" s="10"/>
    </row>
    <row r="226" spans="1:4">
      <c r="A226" s="10"/>
      <c r="B226" s="10"/>
      <c r="C226" s="10"/>
      <c r="D226" s="10"/>
    </row>
    <row r="227" spans="1:4">
      <c r="A227" s="10"/>
      <c r="B227" s="10"/>
      <c r="C227" s="10"/>
      <c r="D227" s="10"/>
    </row>
    <row r="228" spans="1:4">
      <c r="A228" s="10"/>
      <c r="B228" s="10"/>
      <c r="C228" s="10"/>
      <c r="D228" s="10"/>
    </row>
    <row r="229" spans="1:4">
      <c r="A229" s="10"/>
      <c r="B229" s="10"/>
      <c r="C229" s="10"/>
      <c r="D229" s="10"/>
    </row>
    <row r="230" spans="1:4">
      <c r="A230" s="10"/>
      <c r="B230" s="10"/>
      <c r="C230" s="10"/>
      <c r="D230" s="10"/>
    </row>
    <row r="231" spans="1:4">
      <c r="A231" s="10"/>
      <c r="B231" s="10"/>
      <c r="C231" s="10"/>
      <c r="D231" s="10"/>
    </row>
    <row r="232" spans="1:4">
      <c r="A232" s="10"/>
      <c r="B232" s="10"/>
      <c r="C232" s="10"/>
      <c r="D232" s="10"/>
    </row>
    <row r="233" spans="1:4">
      <c r="A233" s="10"/>
      <c r="B233" s="10"/>
      <c r="C233" s="10"/>
      <c r="D233" s="10"/>
    </row>
    <row r="234" spans="1:4">
      <c r="A234" s="10"/>
      <c r="B234" s="10"/>
      <c r="C234" s="10"/>
      <c r="D234" s="10"/>
    </row>
    <row r="235" spans="1:4">
      <c r="A235" s="10"/>
      <c r="B235" s="10"/>
      <c r="C235" s="10"/>
      <c r="D235" s="10"/>
    </row>
    <row r="236" spans="1:4">
      <c r="A236" s="10"/>
      <c r="B236" s="10"/>
      <c r="C236" s="10"/>
      <c r="D236" s="10"/>
    </row>
    <row r="237" spans="1:4">
      <c r="A237" s="10"/>
      <c r="B237" s="10"/>
      <c r="C237" s="10"/>
      <c r="D237" s="10"/>
    </row>
    <row r="238" spans="1:4">
      <c r="A238" s="10"/>
      <c r="B238" s="10"/>
      <c r="C238" s="10"/>
      <c r="D238" s="10"/>
    </row>
    <row r="239" spans="1:4">
      <c r="A239" s="10"/>
      <c r="B239" s="10"/>
      <c r="C239" s="10"/>
      <c r="D239" s="10"/>
    </row>
    <row r="240" spans="1:4">
      <c r="A240" s="10"/>
      <c r="B240" s="10"/>
      <c r="C240" s="10"/>
      <c r="D240" s="10"/>
    </row>
    <row r="241" spans="1:4">
      <c r="A241" s="10"/>
      <c r="B241" s="10"/>
      <c r="C241" s="10"/>
      <c r="D241" s="10"/>
    </row>
    <row r="242" spans="1:4">
      <c r="A242" s="10"/>
      <c r="B242" s="10"/>
      <c r="C242" s="10"/>
      <c r="D242" s="10"/>
    </row>
    <row r="243" spans="1:4">
      <c r="A243" s="10"/>
      <c r="B243" s="10"/>
      <c r="C243" s="10"/>
      <c r="D243" s="10"/>
    </row>
    <row r="244" spans="1:4">
      <c r="A244" s="10"/>
      <c r="B244" s="10"/>
      <c r="C244" s="10"/>
      <c r="D244" s="10"/>
    </row>
    <row r="245" spans="1:4">
      <c r="A245" s="10"/>
      <c r="B245" s="10"/>
      <c r="C245" s="10"/>
      <c r="D245" s="10"/>
    </row>
    <row r="246" spans="1:4">
      <c r="A246" s="10"/>
      <c r="B246" s="10"/>
      <c r="C246" s="10"/>
      <c r="D246" s="10"/>
    </row>
    <row r="247" spans="1:4">
      <c r="A247" s="10"/>
      <c r="B247" s="10"/>
      <c r="C247" s="10"/>
      <c r="D247" s="10"/>
    </row>
    <row r="248" spans="1:4">
      <c r="A248" s="10"/>
      <c r="B248" s="10"/>
      <c r="C248" s="10"/>
      <c r="D248" s="10"/>
    </row>
    <row r="249" spans="1:4">
      <c r="A249" s="10"/>
      <c r="B249" s="10"/>
      <c r="C249" s="10"/>
      <c r="D249" s="10"/>
    </row>
    <row r="250" spans="1:4">
      <c r="A250" s="10"/>
      <c r="B250" s="10"/>
      <c r="C250" s="10"/>
      <c r="D250" s="10"/>
    </row>
    <row r="251" spans="1:4">
      <c r="A251" s="10"/>
      <c r="B251" s="10"/>
      <c r="C251" s="10"/>
      <c r="D251" s="10"/>
    </row>
    <row r="252" spans="1:4">
      <c r="A252" s="10"/>
      <c r="B252" s="10"/>
      <c r="C252" s="10"/>
      <c r="D252" s="10"/>
    </row>
    <row r="253" spans="1:4">
      <c r="A253" s="10"/>
      <c r="B253" s="10"/>
      <c r="C253" s="10"/>
      <c r="D253" s="10"/>
    </row>
    <row r="254" spans="1:4">
      <c r="A254" s="10"/>
      <c r="B254" s="10"/>
      <c r="C254" s="10"/>
      <c r="D254" s="10"/>
    </row>
    <row r="255" spans="1:4">
      <c r="A255" s="10"/>
      <c r="B255" s="10"/>
      <c r="C255" s="10"/>
      <c r="D255" s="10"/>
    </row>
    <row r="256" spans="1:4">
      <c r="A256" s="10"/>
      <c r="B256" s="10"/>
      <c r="C256" s="10"/>
      <c r="D256" s="10"/>
    </row>
    <row r="257" spans="1:4">
      <c r="A257" s="10"/>
      <c r="B257" s="10"/>
      <c r="C257" s="10"/>
      <c r="D257" s="10"/>
    </row>
    <row r="258" spans="1:4">
      <c r="A258" s="10"/>
      <c r="B258" s="10"/>
      <c r="C258" s="10"/>
      <c r="D258" s="10"/>
    </row>
    <row r="259" spans="1:4">
      <c r="A259" s="10"/>
      <c r="B259" s="10"/>
      <c r="C259" s="10"/>
      <c r="D259" s="10"/>
    </row>
    <row r="260" spans="1:4">
      <c r="A260" s="10"/>
      <c r="B260" s="10"/>
      <c r="C260" s="10"/>
      <c r="D260" s="10"/>
    </row>
    <row r="261" spans="1:4">
      <c r="A261" s="10"/>
      <c r="B261" s="10"/>
      <c r="C261" s="10"/>
      <c r="D261" s="10"/>
    </row>
    <row r="262" spans="1:4">
      <c r="A262" s="10"/>
      <c r="B262" s="10"/>
      <c r="C262" s="10"/>
      <c r="D262" s="10"/>
    </row>
    <row r="263" spans="1:4">
      <c r="A263" s="10"/>
      <c r="B263" s="10"/>
      <c r="C263" s="10"/>
      <c r="D263" s="10"/>
    </row>
    <row r="264" spans="1:4">
      <c r="A264" s="10"/>
      <c r="B264" s="10"/>
      <c r="C264" s="10"/>
      <c r="D264" s="10"/>
    </row>
    <row r="265" spans="1:4">
      <c r="A265" s="10"/>
      <c r="B265" s="10"/>
      <c r="C265" s="10"/>
      <c r="D265" s="10"/>
    </row>
    <row r="266" spans="1:4">
      <c r="A266" s="10"/>
      <c r="B266" s="10"/>
      <c r="C266" s="10"/>
      <c r="D266" s="10"/>
    </row>
    <row r="267" spans="1:4">
      <c r="A267" s="10"/>
      <c r="B267" s="10"/>
      <c r="C267" s="10"/>
      <c r="D267" s="10"/>
    </row>
    <row r="268" spans="1:4">
      <c r="A268" s="10"/>
      <c r="B268" s="10"/>
      <c r="C268" s="10"/>
      <c r="D268" s="10"/>
    </row>
    <row r="269" spans="1:4">
      <c r="A269" s="10"/>
      <c r="B269" s="10"/>
      <c r="C269" s="10"/>
      <c r="D269" s="10"/>
    </row>
    <row r="270" spans="1:4">
      <c r="A270" s="10"/>
      <c r="B270" s="10"/>
      <c r="C270" s="10"/>
      <c r="D270" s="10"/>
    </row>
    <row r="271" spans="1:4">
      <c r="A271" s="10"/>
      <c r="B271" s="10"/>
      <c r="C271" s="10"/>
      <c r="D271" s="10"/>
    </row>
    <row r="272" spans="1:4">
      <c r="A272" s="10"/>
      <c r="B272" s="10"/>
      <c r="C272" s="10"/>
      <c r="D272" s="10"/>
    </row>
    <row r="273" spans="1:4">
      <c r="A273" s="10"/>
      <c r="B273" s="10"/>
      <c r="C273" s="10"/>
      <c r="D273" s="10"/>
    </row>
    <row r="274" spans="1:4">
      <c r="A274" s="10"/>
      <c r="B274" s="10"/>
      <c r="C274" s="10"/>
      <c r="D274" s="10"/>
    </row>
    <row r="275" spans="1:4">
      <c r="A275" s="10"/>
      <c r="B275" s="10"/>
      <c r="C275" s="10"/>
      <c r="D275" s="10"/>
    </row>
    <row r="276" spans="1:4">
      <c r="A276" s="10"/>
      <c r="B276" s="10"/>
      <c r="C276" s="10"/>
      <c r="D276" s="10"/>
    </row>
    <row r="277" spans="1:4">
      <c r="A277" s="10"/>
      <c r="B277" s="10"/>
      <c r="C277" s="10"/>
      <c r="D277" s="10"/>
    </row>
    <row r="278" spans="1:4">
      <c r="A278" s="10"/>
      <c r="B278" s="10"/>
      <c r="C278" s="10"/>
      <c r="D278" s="10"/>
    </row>
    <row r="279" spans="1:4">
      <c r="A279" s="10"/>
      <c r="B279" s="10"/>
      <c r="C279" s="10"/>
      <c r="D279" s="10"/>
    </row>
    <row r="280" spans="1:4">
      <c r="A280" s="10"/>
      <c r="B280" s="10"/>
      <c r="C280" s="10"/>
      <c r="D280" s="10"/>
    </row>
    <row r="281" spans="1:4">
      <c r="A281" s="10"/>
      <c r="B281" s="10"/>
      <c r="C281" s="10"/>
      <c r="D281" s="10"/>
    </row>
    <row r="282" spans="1:4">
      <c r="A282" s="10"/>
      <c r="B282" s="10"/>
      <c r="C282" s="10"/>
      <c r="D282" s="10"/>
    </row>
    <row r="283" spans="1:4">
      <c r="A283" s="10"/>
      <c r="B283" s="10"/>
      <c r="C283" s="10"/>
      <c r="D283" s="10"/>
    </row>
    <row r="284" spans="1:4">
      <c r="A284" s="10"/>
      <c r="B284" s="10"/>
      <c r="C284" s="10"/>
      <c r="D284" s="10"/>
    </row>
    <row r="285" spans="1:4">
      <c r="A285" s="10"/>
      <c r="B285" s="10"/>
      <c r="C285" s="10"/>
      <c r="D285" s="10"/>
    </row>
    <row r="286" spans="1:4">
      <c r="A286" s="10"/>
      <c r="B286" s="10"/>
      <c r="C286" s="10"/>
      <c r="D286" s="10"/>
    </row>
    <row r="287" spans="1:4">
      <c r="A287" s="10"/>
      <c r="B287" s="10"/>
      <c r="C287" s="10"/>
      <c r="D287" s="10"/>
    </row>
    <row r="288" spans="1:4">
      <c r="A288" s="10"/>
      <c r="B288" s="10"/>
      <c r="C288" s="10"/>
      <c r="D288" s="10"/>
    </row>
    <row r="289" spans="1:4">
      <c r="A289" s="10"/>
      <c r="B289" s="10"/>
      <c r="C289" s="10"/>
      <c r="D289" s="10"/>
    </row>
    <row r="290" spans="1:4">
      <c r="A290" s="10"/>
      <c r="B290" s="10"/>
      <c r="C290" s="10"/>
      <c r="D290" s="10"/>
    </row>
    <row r="291" spans="1:4">
      <c r="A291" s="10"/>
      <c r="B291" s="10"/>
      <c r="C291" s="10"/>
      <c r="D291" s="10"/>
    </row>
    <row r="292" spans="1:4">
      <c r="A292" s="10"/>
      <c r="B292" s="10"/>
      <c r="C292" s="10"/>
      <c r="D292" s="10"/>
    </row>
    <row r="293" spans="1:4">
      <c r="A293" s="10"/>
      <c r="B293" s="10"/>
      <c r="C293" s="10"/>
      <c r="D293" s="10"/>
    </row>
    <row r="294" spans="1:4">
      <c r="A294" s="10"/>
      <c r="B294" s="10"/>
      <c r="C294" s="10"/>
      <c r="D294" s="10"/>
    </row>
    <row r="295" spans="1:4">
      <c r="A295" s="10"/>
      <c r="B295" s="10"/>
      <c r="C295" s="10"/>
      <c r="D295" s="10"/>
    </row>
    <row r="296" spans="1:4">
      <c r="A296" s="10"/>
      <c r="B296" s="10"/>
      <c r="C296" s="10"/>
      <c r="D296" s="10"/>
    </row>
    <row r="297" spans="1:4">
      <c r="A297" s="10"/>
      <c r="B297" s="10"/>
      <c r="C297" s="10"/>
      <c r="D297" s="10"/>
    </row>
    <row r="298" spans="1:4">
      <c r="A298" s="10"/>
      <c r="B298" s="10"/>
      <c r="C298" s="10"/>
      <c r="D298" s="10"/>
    </row>
    <row r="299" spans="1:4">
      <c r="A299" s="10"/>
      <c r="B299" s="10"/>
      <c r="C299" s="10"/>
      <c r="D299" s="10"/>
    </row>
    <row r="300" spans="1:4">
      <c r="A300" s="10"/>
      <c r="B300" s="10"/>
      <c r="C300" s="10"/>
      <c r="D300" s="10"/>
    </row>
    <row r="301" spans="1:4">
      <c r="A301" s="10"/>
      <c r="B301" s="10"/>
      <c r="C301" s="10"/>
      <c r="D301" s="10"/>
    </row>
    <row r="302" spans="1:4">
      <c r="A302" s="10"/>
      <c r="B302" s="10"/>
      <c r="C302" s="10"/>
      <c r="D302" s="10"/>
    </row>
    <row r="303" spans="1:4">
      <c r="A303" s="10"/>
      <c r="B303" s="10"/>
      <c r="C303" s="10"/>
      <c r="D303" s="10"/>
    </row>
    <row r="304" spans="1:4">
      <c r="A304" s="10"/>
      <c r="B304" s="10"/>
      <c r="C304" s="10"/>
      <c r="D304" s="10"/>
    </row>
    <row r="305" spans="1:4">
      <c r="A305" s="10"/>
      <c r="B305" s="10"/>
      <c r="C305" s="10"/>
      <c r="D305" s="10"/>
    </row>
    <row r="306" spans="1:4">
      <c r="A306" s="10"/>
      <c r="B306" s="10"/>
      <c r="C306" s="10"/>
      <c r="D306" s="10"/>
    </row>
    <row r="307" spans="1:4">
      <c r="A307" s="10"/>
      <c r="B307" s="10"/>
      <c r="C307" s="10"/>
      <c r="D307" s="10"/>
    </row>
    <row r="308" spans="1:4">
      <c r="A308" s="10"/>
      <c r="B308" s="10"/>
      <c r="C308" s="10"/>
      <c r="D308" s="10"/>
    </row>
    <row r="309" spans="1:4">
      <c r="A309" s="10"/>
      <c r="B309" s="10"/>
      <c r="C309" s="10"/>
      <c r="D309" s="10"/>
    </row>
    <row r="310" spans="1:4">
      <c r="A310" s="10"/>
      <c r="B310" s="10"/>
      <c r="C310" s="10"/>
      <c r="D310" s="10"/>
    </row>
    <row r="311" spans="1:4">
      <c r="A311" s="10"/>
      <c r="B311" s="10"/>
      <c r="C311" s="10"/>
      <c r="D311" s="10"/>
    </row>
    <row r="312" spans="1:4">
      <c r="A312" s="10"/>
      <c r="B312" s="10"/>
      <c r="C312" s="10"/>
      <c r="D312" s="10"/>
    </row>
    <row r="313" spans="1:4">
      <c r="A313" s="10"/>
      <c r="B313" s="10"/>
      <c r="C313" s="10"/>
      <c r="D313" s="10"/>
    </row>
    <row r="314" spans="1:4">
      <c r="A314" s="10"/>
      <c r="B314" s="10"/>
      <c r="C314" s="10"/>
      <c r="D314" s="10"/>
    </row>
    <row r="315" spans="1:4">
      <c r="A315" s="10"/>
      <c r="B315" s="10"/>
      <c r="C315" s="10"/>
      <c r="D315" s="10"/>
    </row>
    <row r="316" spans="1:4">
      <c r="A316" s="10"/>
      <c r="B316" s="10"/>
      <c r="C316" s="10"/>
      <c r="D316" s="10"/>
    </row>
    <row r="317" spans="1:4">
      <c r="A317" s="10"/>
      <c r="B317" s="10"/>
      <c r="C317" s="10"/>
      <c r="D317" s="10"/>
    </row>
    <row r="318" spans="1:4">
      <c r="A318" s="10"/>
      <c r="B318" s="10"/>
      <c r="C318" s="10"/>
      <c r="D318" s="10"/>
    </row>
    <row r="319" spans="1:4">
      <c r="A319" s="10"/>
      <c r="B319" s="10"/>
      <c r="C319" s="10"/>
      <c r="D319" s="10"/>
    </row>
    <row r="320" spans="1:4">
      <c r="A320" s="10"/>
      <c r="B320" s="10"/>
      <c r="C320" s="10"/>
      <c r="D320" s="10"/>
    </row>
    <row r="321" spans="1:4">
      <c r="A321" s="10"/>
      <c r="B321" s="10"/>
      <c r="C321" s="10"/>
      <c r="D321" s="10"/>
    </row>
    <row r="322" spans="1:4">
      <c r="A322" s="10"/>
      <c r="B322" s="10"/>
      <c r="C322" s="10"/>
      <c r="D322" s="10"/>
    </row>
    <row r="323" spans="1:4">
      <c r="A323" s="10"/>
      <c r="B323" s="10"/>
      <c r="C323" s="10"/>
      <c r="D323" s="10"/>
    </row>
    <row r="324" spans="1:4">
      <c r="A324" s="10"/>
      <c r="B324" s="10"/>
      <c r="C324" s="10"/>
      <c r="D324" s="10"/>
    </row>
    <row r="325" spans="1:4">
      <c r="A325" s="10"/>
      <c r="B325" s="10"/>
      <c r="C325" s="10"/>
      <c r="D325" s="10"/>
    </row>
    <row r="326" spans="1:4">
      <c r="A326" s="10"/>
      <c r="B326" s="10"/>
      <c r="C326" s="10"/>
      <c r="D326" s="10"/>
    </row>
    <row r="327" spans="1:4">
      <c r="A327" s="10"/>
      <c r="B327" s="10"/>
      <c r="C327" s="10"/>
      <c r="D327" s="10"/>
    </row>
    <row r="328" spans="1:4">
      <c r="A328" s="10"/>
      <c r="B328" s="10"/>
      <c r="C328" s="10"/>
      <c r="D328" s="10"/>
    </row>
    <row r="329" spans="1:4">
      <c r="A329" s="10"/>
      <c r="B329" s="10"/>
      <c r="C329" s="10"/>
      <c r="D329" s="10"/>
    </row>
    <row r="330" spans="1:4">
      <c r="A330" s="10"/>
      <c r="B330" s="10"/>
      <c r="C330" s="10"/>
      <c r="D330" s="10"/>
    </row>
    <row r="331" spans="1:4">
      <c r="A331" s="10"/>
      <c r="B331" s="10"/>
      <c r="C331" s="10"/>
      <c r="D331" s="10"/>
    </row>
    <row r="332" spans="1:4">
      <c r="A332" s="10"/>
      <c r="B332" s="10"/>
      <c r="C332" s="10"/>
      <c r="D332" s="10"/>
    </row>
    <row r="333" spans="1:4">
      <c r="A333" s="10"/>
      <c r="B333" s="10"/>
      <c r="C333" s="10"/>
      <c r="D333" s="10"/>
    </row>
    <row r="334" spans="1:4">
      <c r="A334" s="10"/>
      <c r="B334" s="10"/>
      <c r="C334" s="10"/>
      <c r="D334" s="10"/>
    </row>
    <row r="335" spans="1:4">
      <c r="A335" s="10"/>
      <c r="B335" s="10"/>
      <c r="C335" s="10"/>
      <c r="D335" s="10"/>
    </row>
    <row r="336" spans="1:4">
      <c r="A336" s="10"/>
      <c r="B336" s="10"/>
      <c r="C336" s="10"/>
      <c r="D336" s="10"/>
    </row>
    <row r="337" spans="1:4">
      <c r="A337" s="10"/>
      <c r="B337" s="10"/>
      <c r="C337" s="10"/>
      <c r="D337" s="10"/>
    </row>
    <row r="338" spans="1:4">
      <c r="A338" s="10"/>
      <c r="B338" s="10"/>
      <c r="C338" s="10"/>
      <c r="D338" s="10"/>
    </row>
    <row r="339" spans="1:4">
      <c r="A339" s="10"/>
      <c r="B339" s="10"/>
      <c r="C339" s="10"/>
      <c r="D339" s="10"/>
    </row>
    <row r="340" spans="1:4">
      <c r="A340" s="10"/>
      <c r="B340" s="10"/>
      <c r="C340" s="10"/>
      <c r="D340" s="10"/>
    </row>
    <row r="341" spans="1:4">
      <c r="A341" s="10"/>
      <c r="B341" s="10"/>
      <c r="C341" s="10"/>
      <c r="D341" s="10"/>
    </row>
    <row r="342" spans="1:4">
      <c r="A342" s="10"/>
      <c r="B342" s="10"/>
      <c r="C342" s="10"/>
      <c r="D342" s="10"/>
    </row>
    <row r="343" spans="1:4">
      <c r="A343" s="10"/>
      <c r="B343" s="10"/>
      <c r="C343" s="10"/>
      <c r="D343" s="10"/>
    </row>
    <row r="344" spans="1:4">
      <c r="A344" s="10"/>
      <c r="B344" s="10"/>
      <c r="C344" s="10"/>
      <c r="D344" s="10"/>
    </row>
    <row r="345" spans="1:4">
      <c r="A345" s="10"/>
      <c r="B345" s="10"/>
      <c r="C345" s="10"/>
      <c r="D345" s="10"/>
    </row>
    <row r="346" spans="1:4">
      <c r="A346" s="10"/>
      <c r="B346" s="10"/>
      <c r="C346" s="10"/>
      <c r="D346" s="10"/>
    </row>
    <row r="347" spans="1:4">
      <c r="A347" s="10"/>
      <c r="B347" s="10"/>
      <c r="C347" s="10"/>
      <c r="D347" s="10"/>
    </row>
    <row r="348" spans="1:4">
      <c r="A348" s="10"/>
      <c r="B348" s="10"/>
      <c r="C348" s="10"/>
      <c r="D348" s="10"/>
    </row>
    <row r="349" spans="1:4">
      <c r="A349" s="10"/>
      <c r="B349" s="10"/>
      <c r="C349" s="10"/>
      <c r="D349" s="10"/>
    </row>
    <row r="350" spans="1:4">
      <c r="A350" s="10"/>
      <c r="B350" s="10"/>
      <c r="C350" s="10"/>
      <c r="D350" s="10"/>
    </row>
    <row r="351" spans="1:4">
      <c r="A351" s="10"/>
      <c r="B351" s="10"/>
      <c r="C351" s="10"/>
      <c r="D351" s="10"/>
    </row>
    <row r="352" spans="1:4">
      <c r="A352" s="10"/>
      <c r="B352" s="10"/>
      <c r="C352" s="10"/>
      <c r="D352" s="10"/>
    </row>
    <row r="353" spans="1:4">
      <c r="A353" s="10"/>
      <c r="B353" s="10"/>
      <c r="C353" s="10"/>
      <c r="D353" s="10"/>
    </row>
    <row r="354" spans="1:4">
      <c r="A354" s="10"/>
      <c r="B354" s="10"/>
      <c r="C354" s="10"/>
      <c r="D354" s="10"/>
    </row>
    <row r="355" spans="1:4">
      <c r="A355" s="10"/>
      <c r="B355" s="10"/>
      <c r="C355" s="10"/>
      <c r="D355" s="10"/>
    </row>
    <row r="356" spans="1:4">
      <c r="A356" s="10"/>
      <c r="B356" s="10"/>
      <c r="C356" s="10"/>
      <c r="D356" s="10"/>
    </row>
    <row r="357" spans="1:4">
      <c r="A357" s="10"/>
      <c r="B357" s="10"/>
      <c r="C357" s="10"/>
      <c r="D357" s="10"/>
    </row>
    <row r="358" spans="1:4">
      <c r="A358" s="10"/>
      <c r="B358" s="10"/>
      <c r="C358" s="10"/>
      <c r="D358" s="10"/>
    </row>
    <row r="359" spans="1:4">
      <c r="A359" s="10"/>
      <c r="B359" s="10"/>
      <c r="C359" s="10"/>
      <c r="D359" s="10"/>
    </row>
    <row r="360" spans="1:4">
      <c r="A360" s="10"/>
      <c r="B360" s="10"/>
      <c r="C360" s="10"/>
      <c r="D360" s="10"/>
    </row>
    <row r="361" spans="1:4">
      <c r="A361" s="10"/>
      <c r="B361" s="10"/>
      <c r="C361" s="10"/>
      <c r="D361" s="10"/>
    </row>
    <row r="362" spans="1:4">
      <c r="A362" s="10"/>
      <c r="B362" s="10"/>
      <c r="C362" s="10"/>
      <c r="D362" s="10"/>
    </row>
    <row r="363" spans="1:4">
      <c r="A363" s="10"/>
      <c r="B363" s="10"/>
      <c r="C363" s="10"/>
      <c r="D363" s="10"/>
    </row>
    <row r="364" spans="1:4">
      <c r="A364" s="10"/>
      <c r="B364" s="10"/>
      <c r="C364" s="10"/>
      <c r="D364" s="10"/>
    </row>
    <row r="365" spans="1:4">
      <c r="A365" s="10"/>
      <c r="B365" s="10"/>
      <c r="C365" s="10"/>
      <c r="D365" s="10"/>
    </row>
    <row r="366" spans="1:4">
      <c r="A366" s="10"/>
      <c r="B366" s="10"/>
      <c r="C366" s="10"/>
      <c r="D366" s="10"/>
    </row>
    <row r="367" spans="1:4">
      <c r="A367" s="10"/>
      <c r="B367" s="10"/>
      <c r="C367" s="10"/>
      <c r="D367" s="10"/>
    </row>
    <row r="368" spans="1:4">
      <c r="A368" s="10"/>
      <c r="B368" s="10"/>
      <c r="C368" s="10"/>
      <c r="D368" s="10"/>
    </row>
    <row r="369" spans="1:4">
      <c r="A369" s="10"/>
      <c r="B369" s="10"/>
      <c r="C369" s="10"/>
      <c r="D369" s="10"/>
    </row>
    <row r="370" spans="1:4">
      <c r="A370" s="10"/>
      <c r="B370" s="10"/>
      <c r="C370" s="10"/>
      <c r="D370" s="10"/>
    </row>
    <row r="371" spans="1:4">
      <c r="A371" s="10"/>
      <c r="B371" s="10"/>
      <c r="C371" s="10"/>
      <c r="D371" s="10"/>
    </row>
    <row r="372" spans="1:4">
      <c r="A372" s="10"/>
      <c r="B372" s="10"/>
      <c r="C372" s="10"/>
      <c r="D372" s="10"/>
    </row>
    <row r="373" spans="1:4">
      <c r="A373" s="10"/>
      <c r="B373" s="10"/>
      <c r="C373" s="10"/>
      <c r="D373" s="10"/>
    </row>
    <row r="374" spans="1:4">
      <c r="A374" s="10"/>
      <c r="B374" s="10"/>
      <c r="C374" s="10"/>
      <c r="D374" s="10"/>
    </row>
    <row r="375" spans="1:4">
      <c r="A375" s="10"/>
      <c r="B375" s="10"/>
      <c r="C375" s="10"/>
      <c r="D375" s="10"/>
    </row>
    <row r="376" spans="1:4">
      <c r="A376" s="10"/>
      <c r="B376" s="10"/>
      <c r="C376" s="10"/>
      <c r="D376" s="10"/>
    </row>
    <row r="377" spans="1:4">
      <c r="A377" s="10"/>
      <c r="B377" s="10"/>
      <c r="C377" s="10"/>
      <c r="D377" s="10"/>
    </row>
    <row r="378" spans="1:4">
      <c r="A378" s="10"/>
      <c r="B378" s="10"/>
      <c r="C378" s="10"/>
      <c r="D378" s="10"/>
    </row>
    <row r="379" spans="1:4">
      <c r="A379" s="10"/>
      <c r="B379" s="10"/>
      <c r="C379" s="10"/>
      <c r="D379" s="10"/>
    </row>
    <row r="380" spans="1:4">
      <c r="A380" s="10"/>
      <c r="B380" s="10"/>
      <c r="C380" s="10"/>
      <c r="D380" s="10"/>
    </row>
    <row r="381" spans="1:4">
      <c r="A381" s="10"/>
      <c r="B381" s="10"/>
      <c r="C381" s="10"/>
      <c r="D381" s="10"/>
    </row>
    <row r="382" spans="1:4">
      <c r="A382" s="10"/>
      <c r="B382" s="10"/>
      <c r="C382" s="10"/>
      <c r="D382" s="10"/>
    </row>
    <row r="383" spans="1:4">
      <c r="A383" s="10"/>
      <c r="B383" s="10"/>
      <c r="C383" s="10"/>
      <c r="D383" s="10"/>
    </row>
    <row r="384" spans="1:4">
      <c r="A384" s="10"/>
      <c r="B384" s="10"/>
      <c r="C384" s="10"/>
      <c r="D384" s="10"/>
    </row>
    <row r="385" spans="1:4">
      <c r="A385" s="10"/>
      <c r="B385" s="10"/>
      <c r="C385" s="10"/>
      <c r="D385" s="10"/>
    </row>
    <row r="386" spans="1:4">
      <c r="A386" s="10"/>
      <c r="B386" s="10"/>
      <c r="C386" s="10"/>
      <c r="D386" s="10"/>
    </row>
    <row r="387" spans="1:4">
      <c r="A387" s="10"/>
      <c r="B387" s="10"/>
      <c r="C387" s="10"/>
      <c r="D387" s="10"/>
    </row>
    <row r="388" spans="1:4">
      <c r="A388" s="10"/>
      <c r="B388" s="10"/>
      <c r="C388" s="10"/>
      <c r="D388" s="10"/>
    </row>
    <row r="389" spans="1:4">
      <c r="A389" s="10"/>
      <c r="B389" s="10"/>
      <c r="C389" s="10"/>
      <c r="D389" s="10"/>
    </row>
  </sheetData>
  <phoneticPr fontId="4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EE84D-88FC-4F2B-841D-CCB8A9A288DA}">
  <sheetPr codeName="Sheet9"/>
  <dimension ref="A1:Z389"/>
  <sheetViews>
    <sheetView zoomScale="115" zoomScaleNormal="115" workbookViewId="0">
      <selection activeCell="R16" sqref="R16"/>
    </sheetView>
  </sheetViews>
  <sheetFormatPr defaultColWidth="9.109375" defaultRowHeight="14.4"/>
  <cols>
    <col min="1" max="1" width="46.5546875" style="88" bestFit="1" customWidth="1"/>
    <col min="2" max="2" width="17.33203125" style="88" customWidth="1"/>
    <col min="3" max="3" width="11.88671875" style="88" customWidth="1"/>
    <col min="4" max="4" width="25.44140625" style="88" customWidth="1"/>
    <col min="5" max="5" width="11.5546875" style="88" bestFit="1" customWidth="1"/>
    <col min="6" max="9" width="11.5546875" style="88" customWidth="1"/>
    <col min="10" max="10" width="11" style="88" customWidth="1"/>
    <col min="11" max="12" width="11.5546875" style="88" customWidth="1"/>
    <col min="13" max="13" width="14.6640625" style="88" customWidth="1"/>
    <col min="14" max="15" width="11.5546875" style="88" customWidth="1"/>
    <col min="16" max="16" width="10.88671875" style="88" customWidth="1"/>
    <col min="17" max="20" width="9.109375" style="88"/>
    <col min="21" max="21" width="13.33203125" style="88" bestFit="1" customWidth="1"/>
    <col min="22" max="22" width="17.33203125" style="88" customWidth="1"/>
    <col min="23" max="23" width="9.109375" style="88"/>
    <col min="24" max="24" width="14.33203125" style="88" customWidth="1"/>
    <col min="25" max="16384" width="9.109375" style="88"/>
  </cols>
  <sheetData>
    <row r="1" spans="1:21">
      <c r="A1" s="88" t="s">
        <v>6</v>
      </c>
      <c r="B1" s="89"/>
    </row>
    <row r="2" spans="1:21">
      <c r="B2" s="90"/>
    </row>
    <row r="3" spans="1:21" ht="16.2">
      <c r="A3" s="92" t="s">
        <v>13</v>
      </c>
      <c r="B3" s="93">
        <v>1.3806490000000001E-23</v>
      </c>
      <c r="C3" s="88" t="s">
        <v>14</v>
      </c>
    </row>
    <row r="4" spans="1:21" ht="16.8">
      <c r="A4" s="92" t="s">
        <v>19</v>
      </c>
      <c r="B4" s="93">
        <v>6.0221407599999999E+23</v>
      </c>
      <c r="C4" s="88" t="s">
        <v>18</v>
      </c>
      <c r="K4" s="97"/>
    </row>
    <row r="5" spans="1:21" ht="16.2">
      <c r="A5" s="92" t="s">
        <v>12</v>
      </c>
      <c r="B5" s="98">
        <v>8.3144626181532395</v>
      </c>
      <c r="C5" s="88" t="s">
        <v>0</v>
      </c>
    </row>
    <row r="6" spans="1:21">
      <c r="A6" s="92" t="s">
        <v>1</v>
      </c>
      <c r="B6" s="99">
        <v>233.15</v>
      </c>
      <c r="C6" s="88" t="s">
        <v>2</v>
      </c>
      <c r="J6" s="102"/>
      <c r="K6" s="102"/>
    </row>
    <row r="7" spans="1:21">
      <c r="A7" s="92" t="s">
        <v>85</v>
      </c>
      <c r="B7" s="98">
        <v>0.40200000000000002</v>
      </c>
      <c r="E7" s="102"/>
      <c r="F7" s="102"/>
      <c r="G7" s="102"/>
      <c r="H7" s="102"/>
      <c r="I7" s="102"/>
    </row>
    <row r="8" spans="1:21" ht="16.2">
      <c r="A8" s="133" t="s">
        <v>16</v>
      </c>
      <c r="B8" s="108" cm="1">
        <f t="array" ref="B8">6*B7/(SUMPRODUCT(B15:D15,B16:D16,B19:D19^3)*PI())</f>
        <v>9.5104120594613761E-3</v>
      </c>
      <c r="C8" s="88" t="s">
        <v>11</v>
      </c>
      <c r="D8" s="138" cm="1">
        <f t="array" ref="D8">(SUMPRODUCT(B15:D15,B16:D16,B19:D19^3))^-1</f>
        <v>1.2387164452162369E-2</v>
      </c>
    </row>
    <row r="9" spans="1:21" ht="16.2">
      <c r="A9" s="92" t="s">
        <v>17</v>
      </c>
      <c r="B9" s="105">
        <f>B4*10^-30/B8</f>
        <v>6.3321554548300657E-5</v>
      </c>
      <c r="C9" s="106" t="s">
        <v>15</v>
      </c>
      <c r="E9" s="102"/>
      <c r="F9" s="102"/>
      <c r="G9" s="102"/>
      <c r="H9" s="102"/>
      <c r="I9" s="102"/>
      <c r="K9" s="102"/>
    </row>
    <row r="10" spans="1:21">
      <c r="A10" s="92"/>
      <c r="B10" s="107"/>
    </row>
    <row r="11" spans="1:21">
      <c r="A11" s="91" t="s">
        <v>30</v>
      </c>
      <c r="B11" s="107"/>
      <c r="F11" s="88" t="s">
        <v>67</v>
      </c>
      <c r="K11" s="88" t="s">
        <v>127</v>
      </c>
      <c r="T11" s="88" t="s">
        <v>126</v>
      </c>
    </row>
    <row r="12" spans="1:21">
      <c r="A12" s="92"/>
      <c r="B12" s="98"/>
    </row>
    <row r="13" spans="1:21" ht="15.6">
      <c r="A13" s="110" t="s">
        <v>4</v>
      </c>
      <c r="B13" s="111" t="s">
        <v>86</v>
      </c>
      <c r="C13" s="112" t="s">
        <v>87</v>
      </c>
      <c r="D13" s="112" t="s">
        <v>88</v>
      </c>
      <c r="F13" s="114" t="s">
        <v>89</v>
      </c>
      <c r="L13" s="92" t="s">
        <v>76</v>
      </c>
      <c r="M13" s="91">
        <v>1E-4</v>
      </c>
      <c r="U13" s="108">
        <f>PCSAFTA(B6,B8,B15:D15,B16:D16,B17:D17,B18:D18,G15:I17)</f>
        <v>-3.5737119252382161</v>
      </c>
    </row>
    <row r="14" spans="1:21">
      <c r="A14" s="104" t="s">
        <v>8</v>
      </c>
      <c r="B14" s="94">
        <v>1</v>
      </c>
      <c r="C14" s="94">
        <v>2</v>
      </c>
      <c r="D14" s="94">
        <v>3</v>
      </c>
      <c r="F14" s="110" t="s">
        <v>3</v>
      </c>
      <c r="G14" s="112">
        <v>1</v>
      </c>
      <c r="H14" s="112">
        <v>2</v>
      </c>
      <c r="I14" s="112">
        <v>3</v>
      </c>
      <c r="L14" s="92" t="s">
        <v>71</v>
      </c>
      <c r="M14" s="91">
        <f>M13*B15</f>
        <v>1.0000000000000001E-5</v>
      </c>
    </row>
    <row r="15" spans="1:21" ht="15.6">
      <c r="A15" s="131" t="s">
        <v>9</v>
      </c>
      <c r="B15" s="95">
        <v>0.1</v>
      </c>
      <c r="C15" s="95">
        <v>0.3</v>
      </c>
      <c r="D15" s="95">
        <v>0.6</v>
      </c>
      <c r="F15" s="104">
        <v>1</v>
      </c>
      <c r="G15" s="101">
        <v>0</v>
      </c>
      <c r="H15" s="101">
        <f>G16</f>
        <v>2.9999999999999997E-4</v>
      </c>
      <c r="I15" s="101">
        <f>G17</f>
        <v>1.15E-2</v>
      </c>
      <c r="U15" s="108">
        <f>PCSAFTZ(B6,B8,B15:D15,B16:D16,B17:D17,B18:D18,G15:I17)</f>
        <v>1.6404971870127429</v>
      </c>
    </row>
    <row r="16" spans="1:21" ht="15.6">
      <c r="A16" s="104" t="s">
        <v>7</v>
      </c>
      <c r="B16" s="95">
        <v>1</v>
      </c>
      <c r="C16" s="95">
        <v>1.6069</v>
      </c>
      <c r="D16" s="95">
        <v>2.0019999999999998</v>
      </c>
      <c r="F16" s="104">
        <v>2</v>
      </c>
      <c r="G16" s="101">
        <v>2.9999999999999997E-4</v>
      </c>
      <c r="H16" s="101">
        <v>0</v>
      </c>
      <c r="I16" s="101">
        <f>H17</f>
        <v>5.1000000000000004E-3</v>
      </c>
      <c r="J16" s="96"/>
      <c r="K16" s="110" t="s">
        <v>70</v>
      </c>
      <c r="L16" s="121" t="s">
        <v>117</v>
      </c>
      <c r="M16" s="121" t="s">
        <v>116</v>
      </c>
      <c r="N16" s="121" t="s">
        <v>115</v>
      </c>
      <c r="O16" s="114" t="s">
        <v>69</v>
      </c>
      <c r="P16" s="103"/>
    </row>
    <row r="17" spans="1:26" ht="15.6">
      <c r="A17" s="104" t="s">
        <v>10</v>
      </c>
      <c r="B17" s="95">
        <v>3.7039</v>
      </c>
      <c r="C17" s="95">
        <v>3.5206</v>
      </c>
      <c r="D17" s="95">
        <v>3.6183999999999998</v>
      </c>
      <c r="F17" s="104">
        <v>3</v>
      </c>
      <c r="G17" s="101">
        <v>1.15E-2</v>
      </c>
      <c r="H17" s="101">
        <v>5.1000000000000004E-3</v>
      </c>
      <c r="I17" s="101">
        <v>0</v>
      </c>
      <c r="K17" s="120" t="s">
        <v>72</v>
      </c>
      <c r="L17" s="123">
        <f>B15-2*M14</f>
        <v>9.9979999999999999E-2</v>
      </c>
      <c r="M17" s="123">
        <f>C15</f>
        <v>0.3</v>
      </c>
      <c r="N17" s="123">
        <f>D15</f>
        <v>0.6</v>
      </c>
      <c r="O17" s="123">
        <v>9.5104120594613761E-3</v>
      </c>
      <c r="P17" s="118">
        <f>PCSAFTA($B$6,O17,L17:N17,$B$16:$D$16,$B$17:$D$17,$B$18:$D$18,$G$15:$I$17)</f>
        <v>-3.5737216970129282</v>
      </c>
      <c r="T17" s="92" t="s">
        <v>125</v>
      </c>
      <c r="U17" s="96">
        <f>U15*B3*B6*B8*10^30</f>
        <v>50221944.827384733</v>
      </c>
      <c r="V17" s="88" t="s">
        <v>124</v>
      </c>
    </row>
    <row r="18" spans="1:26" ht="15.6">
      <c r="A18" s="104" t="s">
        <v>21</v>
      </c>
      <c r="B18" s="94">
        <v>150.03</v>
      </c>
      <c r="C18" s="94">
        <v>191.42</v>
      </c>
      <c r="D18" s="94">
        <v>208.11</v>
      </c>
      <c r="J18" s="96"/>
      <c r="K18" s="104" t="s">
        <v>73</v>
      </c>
      <c r="L18" s="122">
        <f>B15-M14</f>
        <v>9.9990000000000009E-2</v>
      </c>
      <c r="M18" s="122">
        <f t="shared" ref="M18:N20" si="0">M17</f>
        <v>0.3</v>
      </c>
      <c r="N18" s="122">
        <f t="shared" si="0"/>
        <v>0.6</v>
      </c>
      <c r="O18" s="122">
        <v>9.5104120594613761E-3</v>
      </c>
      <c r="P18" s="116">
        <f t="shared" ref="P18:P44" si="1">PCSAFTA($B$6,O18,L18:N18,$B$16:$D$16,$B$17:$D$17,$B$18:$D$18,$G$15:$I$17)</f>
        <v>-3.5737168116197404</v>
      </c>
    </row>
    <row r="19" spans="1:26" ht="19.8">
      <c r="A19" s="104" t="s">
        <v>20</v>
      </c>
      <c r="B19" s="95">
        <f>B17*(1-0.12*EXP(-3*B18/$B6))</f>
        <v>3.6394168391548423</v>
      </c>
      <c r="C19" s="95">
        <f>C17*(1-0.12*EXP(-3*C18/$B6))</f>
        <v>3.484616027410032</v>
      </c>
      <c r="D19" s="95">
        <f>D17*(1-0.12*EXP(-3*D18/$B6))</f>
        <v>3.5885638814010004</v>
      </c>
      <c r="K19" s="104" t="s">
        <v>74</v>
      </c>
      <c r="L19" s="122">
        <f>B15+M14</f>
        <v>0.10001</v>
      </c>
      <c r="M19" s="122">
        <f t="shared" si="0"/>
        <v>0.3</v>
      </c>
      <c r="N19" s="122">
        <f t="shared" si="0"/>
        <v>0.6</v>
      </c>
      <c r="O19" s="122" cm="1">
        <f t="array" ref="O19">6*$B$7/(SUMPRODUCT(L19:N19,$B$16:$D$16,$B$19:$D$19^3)*PI())</f>
        <v>9.5103552704844628E-3</v>
      </c>
      <c r="P19" s="116">
        <f t="shared" si="1"/>
        <v>-3.573710862973833</v>
      </c>
      <c r="T19" s="100" t="s">
        <v>123</v>
      </c>
      <c r="U19" s="137">
        <f>EXP(U13+(U15-1)+M23-(B15*M23+C15*M35+D15*M47)-LN(U15))</f>
        <v>0.47933236632554505</v>
      </c>
      <c r="V19" s="88" t="s">
        <v>119</v>
      </c>
      <c r="Y19" s="88" t="s">
        <v>122</v>
      </c>
    </row>
    <row r="20" spans="1:26" ht="19.8">
      <c r="A20" s="91"/>
      <c r="B20" s="95"/>
      <c r="C20" s="95"/>
      <c r="D20" s="95"/>
      <c r="J20" s="102"/>
      <c r="K20" s="104" t="s">
        <v>75</v>
      </c>
      <c r="L20" s="122">
        <f>B15+2*M14</f>
        <v>0.10002000000000001</v>
      </c>
      <c r="M20" s="122">
        <f t="shared" si="0"/>
        <v>0.3</v>
      </c>
      <c r="N20" s="122">
        <f t="shared" si="0"/>
        <v>0.6</v>
      </c>
      <c r="O20" s="132">
        <v>9.5104120594613761E-3</v>
      </c>
      <c r="P20" s="116">
        <f t="shared" si="1"/>
        <v>-3.5737021495100425</v>
      </c>
      <c r="T20" s="100" t="s">
        <v>121</v>
      </c>
      <c r="U20" s="137">
        <f>EXP(U13+(U15-1)+M35-(B15*M23+C15*M35+D15*M47)-LN(U15))</f>
        <v>6.3593493187905539E-2</v>
      </c>
      <c r="V20" s="88" t="s">
        <v>119</v>
      </c>
    </row>
    <row r="21" spans="1:26" ht="19.8">
      <c r="A21" s="94"/>
      <c r="B21" s="95"/>
      <c r="C21" s="95"/>
      <c r="D21" s="95"/>
      <c r="E21" s="102"/>
      <c r="F21" s="102"/>
      <c r="G21" s="102"/>
      <c r="H21" s="102"/>
      <c r="I21" s="102"/>
      <c r="O21" s="134"/>
      <c r="P21" s="115"/>
      <c r="T21" s="100" t="s">
        <v>120</v>
      </c>
      <c r="U21" s="137">
        <f>EXP(U13+(U15-1)+M47-(B15*M23+C15*M35+D15*M47)-LN(U15))</f>
        <v>1.479437961665046E-2</v>
      </c>
      <c r="V21" s="88" t="s">
        <v>119</v>
      </c>
      <c r="Y21" s="88" t="s">
        <v>118</v>
      </c>
    </row>
    <row r="22" spans="1:26">
      <c r="B22" s="113"/>
      <c r="C22" s="113"/>
      <c r="D22" s="113"/>
      <c r="O22" s="134"/>
      <c r="P22" s="115"/>
    </row>
    <row r="23" spans="1:26">
      <c r="B23" s="95"/>
      <c r="C23" s="95"/>
      <c r="D23" s="95"/>
      <c r="M23" s="130">
        <f>(-P20+8*P19-8*P18+P17)/(12*M14)</f>
        <v>0.23368053643224582</v>
      </c>
      <c r="O23" s="134"/>
      <c r="P23" s="115"/>
    </row>
    <row r="24" spans="1:26">
      <c r="A24" s="94"/>
      <c r="B24" s="102"/>
      <c r="C24" s="102"/>
      <c r="D24" s="102"/>
      <c r="E24" s="94"/>
      <c r="F24" s="94"/>
      <c r="G24" s="94"/>
      <c r="H24" s="94"/>
      <c r="I24" s="94"/>
      <c r="O24" s="134"/>
      <c r="P24" s="115"/>
      <c r="T24" s="133" t="s">
        <v>131</v>
      </c>
      <c r="U24" s="88">
        <f>U13+(U15-1)+M23-(B15*M23+C15*M35+D15*M47)</f>
        <v>-0.24036168806859992</v>
      </c>
      <c r="V24" s="135">
        <f>U24*$B$6*$B$3</f>
        <v>-7.7372022223602823E-22</v>
      </c>
      <c r="X24" s="136">
        <f>(B15*M23+C15*M35+D15*M47)</f>
        <v>-2.4591725137246274</v>
      </c>
    </row>
    <row r="25" spans="1:26">
      <c r="E25" s="94"/>
      <c r="F25" s="94"/>
      <c r="G25" s="94"/>
      <c r="H25" s="94"/>
      <c r="I25" s="94"/>
      <c r="O25" s="134"/>
      <c r="P25" s="115"/>
      <c r="U25" s="88">
        <f>U13+(U15-1)+M35-(B15*M23+C15*M35+D15*M47)</f>
        <v>-2.2602447635319884</v>
      </c>
      <c r="V25" s="135">
        <f t="shared" ref="V25:V26" si="2">U25*$B$6*$B$3</f>
        <v>-7.2756897939936148E-21</v>
      </c>
      <c r="X25" s="88">
        <f>B15*M23</f>
        <v>2.3368053643224584E-2</v>
      </c>
      <c r="Y25" s="88">
        <f>C15*M35</f>
        <v>-0.53586076170934283</v>
      </c>
      <c r="Z25" s="88">
        <f>D15*M47</f>
        <v>-1.9466798056585093</v>
      </c>
    </row>
    <row r="26" spans="1:26">
      <c r="L26" s="92" t="s">
        <v>71</v>
      </c>
      <c r="M26" s="91">
        <f>M13*C15</f>
        <v>3.0000000000000001E-5</v>
      </c>
      <c r="O26" s="134"/>
      <c r="P26" s="115"/>
      <c r="U26" s="88">
        <f>U13+(U15-1)+M47-(B15*M23+C15*M35+D15*M47)</f>
        <v>-3.7185085672650282</v>
      </c>
      <c r="V26" s="135">
        <f t="shared" si="2"/>
        <v>-1.1969816396986464E-20</v>
      </c>
    </row>
    <row r="27" spans="1:26">
      <c r="A27" s="94"/>
      <c r="F27" s="94"/>
      <c r="G27" s="94"/>
      <c r="H27" s="94"/>
      <c r="I27" s="94"/>
      <c r="J27" s="115"/>
      <c r="O27" s="134"/>
      <c r="P27" s="115"/>
    </row>
    <row r="28" spans="1:26" ht="15.6">
      <c r="F28" s="101"/>
      <c r="G28" s="101"/>
      <c r="H28" s="101"/>
      <c r="I28" s="101"/>
      <c r="J28" s="101"/>
      <c r="K28" s="110" t="s">
        <v>70</v>
      </c>
      <c r="L28" s="121" t="s">
        <v>117</v>
      </c>
      <c r="M28" s="121" t="s">
        <v>116</v>
      </c>
      <c r="N28" s="121" t="s">
        <v>115</v>
      </c>
      <c r="O28" s="132"/>
      <c r="P28" s="116"/>
    </row>
    <row r="29" spans="1:26">
      <c r="F29" s="101"/>
      <c r="G29" s="101"/>
      <c r="H29" s="101"/>
      <c r="I29" s="101"/>
      <c r="J29" s="101"/>
      <c r="K29" s="120" t="s">
        <v>72</v>
      </c>
      <c r="L29" s="119">
        <f>B15</f>
        <v>0.1</v>
      </c>
      <c r="M29" s="119">
        <f>C15-2*M26</f>
        <v>0.29993999999999998</v>
      </c>
      <c r="N29" s="119">
        <f>D15</f>
        <v>0.6</v>
      </c>
      <c r="O29" s="123">
        <v>9.5104120594613761E-3</v>
      </c>
      <c r="P29" s="118">
        <f t="shared" si="1"/>
        <v>-3.5736047241921787</v>
      </c>
    </row>
    <row r="30" spans="1:26">
      <c r="F30" s="101"/>
      <c r="G30" s="101"/>
      <c r="H30" s="101"/>
      <c r="I30" s="101"/>
      <c r="J30" s="101"/>
      <c r="K30" s="104" t="s">
        <v>73</v>
      </c>
      <c r="L30" s="117">
        <f>L29</f>
        <v>0.1</v>
      </c>
      <c r="M30" s="117">
        <f>C15-M26</f>
        <v>0.29997000000000001</v>
      </c>
      <c r="N30" s="117">
        <f>N29</f>
        <v>0.6</v>
      </c>
      <c r="O30" s="122">
        <v>9.5104120594613761E-3</v>
      </c>
      <c r="P30" s="116">
        <f t="shared" si="1"/>
        <v>-3.5736583319382458</v>
      </c>
    </row>
    <row r="31" spans="1:26" s="102" customFormat="1">
      <c r="A31" s="99"/>
      <c r="B31" s="94"/>
      <c r="C31" s="108"/>
      <c r="D31" s="108"/>
      <c r="E31" s="108"/>
      <c r="F31" s="108"/>
      <c r="G31" s="108"/>
      <c r="H31" s="108"/>
      <c r="I31" s="108"/>
      <c r="J31" s="88"/>
      <c r="K31" s="104" t="s">
        <v>74</v>
      </c>
      <c r="L31" s="117">
        <f>L30</f>
        <v>0.1</v>
      </c>
      <c r="M31" s="117">
        <f>C15+M26</f>
        <v>0.30002999999999996</v>
      </c>
      <c r="N31" s="117">
        <f>N30</f>
        <v>0.6</v>
      </c>
      <c r="O31" s="122">
        <v>9.5104120594613761E-3</v>
      </c>
      <c r="P31" s="116">
        <f t="shared" si="1"/>
        <v>-3.5737655040898355</v>
      </c>
      <c r="Q31" s="109"/>
    </row>
    <row r="32" spans="1:26">
      <c r="A32" s="99"/>
      <c r="B32" s="94"/>
      <c r="C32" s="108"/>
      <c r="D32" s="108"/>
      <c r="E32" s="108"/>
      <c r="F32" s="108"/>
      <c r="G32" s="108"/>
      <c r="H32" s="108"/>
      <c r="I32" s="108"/>
      <c r="K32" s="104" t="s">
        <v>75</v>
      </c>
      <c r="L32" s="117">
        <f>L31</f>
        <v>0.1</v>
      </c>
      <c r="M32" s="117">
        <f>C15+2*M26</f>
        <v>0.30005999999999999</v>
      </c>
      <c r="N32" s="117">
        <f>N31</f>
        <v>0.6</v>
      </c>
      <c r="O32" s="122">
        <v>9.5104120594613761E-3</v>
      </c>
      <c r="P32" s="116">
        <f t="shared" si="1"/>
        <v>-3.5738190684908462</v>
      </c>
    </row>
    <row r="33" spans="1:16">
      <c r="A33" s="99"/>
      <c r="B33" s="94"/>
      <c r="C33" s="108"/>
      <c r="D33" s="108"/>
      <c r="E33" s="108"/>
      <c r="F33" s="108"/>
      <c r="G33" s="108"/>
      <c r="H33" s="108"/>
      <c r="I33" s="108"/>
      <c r="J33" s="101"/>
      <c r="O33" s="132"/>
      <c r="P33" s="116"/>
    </row>
    <row r="34" spans="1:16">
      <c r="A34" s="99"/>
      <c r="B34" s="94"/>
      <c r="C34" s="108"/>
      <c r="D34" s="108"/>
      <c r="E34" s="108"/>
      <c r="F34" s="108"/>
      <c r="G34" s="108"/>
      <c r="H34" s="108"/>
      <c r="I34" s="108"/>
      <c r="J34" s="101"/>
      <c r="O34" s="134"/>
      <c r="P34" s="115"/>
    </row>
    <row r="35" spans="1:16">
      <c r="A35" s="99"/>
      <c r="B35" s="94"/>
      <c r="C35" s="108"/>
      <c r="D35" s="108"/>
      <c r="E35" s="108"/>
      <c r="F35" s="108"/>
      <c r="G35" s="108"/>
      <c r="H35" s="108"/>
      <c r="I35" s="108"/>
      <c r="J35" s="101"/>
      <c r="M35" s="130">
        <f>(-P32+8*P31-8*P30+P29)/(12*M26)</f>
        <v>-1.7862025390311427</v>
      </c>
      <c r="O35" s="134"/>
      <c r="P35" s="115"/>
    </row>
    <row r="36" spans="1:16">
      <c r="A36" s="99"/>
      <c r="B36" s="99"/>
      <c r="C36" s="99"/>
      <c r="D36" s="99"/>
      <c r="J36" s="101"/>
      <c r="O36" s="134"/>
      <c r="P36" s="115"/>
    </row>
    <row r="37" spans="1:16">
      <c r="A37" s="99"/>
      <c r="B37" s="99"/>
      <c r="C37" s="40"/>
      <c r="D37" s="40"/>
      <c r="E37" s="40"/>
      <c r="F37" s="40"/>
      <c r="G37" s="40"/>
      <c r="H37" s="40"/>
      <c r="I37" s="40"/>
      <c r="K37" s="101"/>
      <c r="L37" s="101"/>
      <c r="O37" s="134"/>
      <c r="P37" s="115"/>
    </row>
    <row r="38" spans="1:16">
      <c r="A38" s="99"/>
      <c r="B38" s="99"/>
      <c r="C38" s="40"/>
      <c r="D38" s="40"/>
      <c r="E38" s="40"/>
      <c r="F38" s="40"/>
      <c r="G38" s="40"/>
      <c r="H38" s="40"/>
      <c r="I38" s="40"/>
      <c r="L38" s="92" t="s">
        <v>71</v>
      </c>
      <c r="M38" s="91">
        <f>M13*D15</f>
        <v>6.0000000000000002E-5</v>
      </c>
      <c r="O38" s="134"/>
      <c r="P38" s="115"/>
    </row>
    <row r="39" spans="1:16">
      <c r="A39" s="99"/>
      <c r="B39" s="99"/>
      <c r="C39" s="40"/>
      <c r="D39" s="40"/>
      <c r="E39" s="40"/>
      <c r="F39" s="40"/>
      <c r="G39" s="40"/>
      <c r="H39" s="40"/>
      <c r="I39" s="40"/>
      <c r="J39" s="94"/>
      <c r="O39" s="134"/>
      <c r="P39" s="115"/>
    </row>
    <row r="40" spans="1:16" ht="15.6">
      <c r="A40" s="99"/>
      <c r="B40" s="99"/>
      <c r="C40" s="40"/>
      <c r="D40" s="40"/>
      <c r="E40" s="40"/>
      <c r="F40" s="40"/>
      <c r="G40" s="40"/>
      <c r="H40" s="40"/>
      <c r="I40" s="40"/>
      <c r="J40" s="101"/>
      <c r="K40" s="110" t="s">
        <v>70</v>
      </c>
      <c r="L40" s="121" t="s">
        <v>117</v>
      </c>
      <c r="M40" s="121" t="s">
        <v>116</v>
      </c>
      <c r="N40" s="121" t="s">
        <v>115</v>
      </c>
      <c r="O40" s="132"/>
      <c r="P40" s="116"/>
    </row>
    <row r="41" spans="1:16">
      <c r="A41" s="99"/>
      <c r="B41" s="99"/>
      <c r="C41" s="40"/>
      <c r="D41" s="40"/>
      <c r="E41" s="40"/>
      <c r="F41" s="40"/>
      <c r="G41" s="40"/>
      <c r="H41" s="40"/>
      <c r="I41" s="40"/>
      <c r="J41" s="101"/>
      <c r="K41" s="120" t="s">
        <v>72</v>
      </c>
      <c r="L41" s="119">
        <f>B15</f>
        <v>0.1</v>
      </c>
      <c r="M41" s="119">
        <f>C15</f>
        <v>0.3</v>
      </c>
      <c r="N41" s="119">
        <f>D15-2*M38</f>
        <v>0.59987999999999997</v>
      </c>
      <c r="O41" s="123">
        <v>9.5104120594613761E-3</v>
      </c>
      <c r="P41" s="118">
        <f t="shared" si="1"/>
        <v>-3.5733223939902174</v>
      </c>
    </row>
    <row r="42" spans="1:16">
      <c r="A42" s="99"/>
      <c r="B42" s="99"/>
      <c r="C42" s="40"/>
      <c r="D42" s="40"/>
      <c r="E42" s="40"/>
      <c r="F42" s="40"/>
      <c r="G42" s="40"/>
      <c r="H42" s="40"/>
      <c r="I42" s="40"/>
      <c r="J42" s="101"/>
      <c r="K42" s="104" t="s">
        <v>73</v>
      </c>
      <c r="L42" s="117">
        <f t="shared" ref="L42:M44" si="3">L41</f>
        <v>0.1</v>
      </c>
      <c r="M42" s="117">
        <f t="shared" si="3"/>
        <v>0.3</v>
      </c>
      <c r="N42" s="117">
        <f>D15-M38</f>
        <v>0.59994000000000003</v>
      </c>
      <c r="O42" s="122">
        <v>9.5104120594613761E-3</v>
      </c>
      <c r="P42" s="116">
        <f t="shared" si="1"/>
        <v>-3.5735172084286324</v>
      </c>
    </row>
    <row r="43" spans="1:16">
      <c r="A43" s="99"/>
      <c r="B43" s="99"/>
      <c r="C43" s="40"/>
      <c r="D43" s="40"/>
      <c r="E43" s="40"/>
      <c r="F43" s="40"/>
      <c r="G43" s="40"/>
      <c r="H43" s="40"/>
      <c r="I43" s="40"/>
      <c r="K43" s="104" t="s">
        <v>74</v>
      </c>
      <c r="L43" s="117">
        <f t="shared" si="3"/>
        <v>0.1</v>
      </c>
      <c r="M43" s="117">
        <f t="shared" si="3"/>
        <v>0.3</v>
      </c>
      <c r="N43" s="117">
        <f>D15+M38</f>
        <v>0.60005999999999993</v>
      </c>
      <c r="O43" s="122">
        <v>9.5104120594613761E-3</v>
      </c>
      <c r="P43" s="116">
        <f t="shared" si="1"/>
        <v>-3.5739065443751601</v>
      </c>
    </row>
    <row r="44" spans="1:16">
      <c r="A44" s="99"/>
      <c r="B44" s="99"/>
      <c r="C44" s="99"/>
      <c r="D44" s="99"/>
      <c r="K44" s="104" t="s">
        <v>75</v>
      </c>
      <c r="L44" s="117">
        <f t="shared" si="3"/>
        <v>0.1</v>
      </c>
      <c r="M44" s="117">
        <f t="shared" si="3"/>
        <v>0.3</v>
      </c>
      <c r="N44" s="117">
        <f>D15+2*M38</f>
        <v>0.60011999999999999</v>
      </c>
      <c r="O44" s="122">
        <v>9.5104120594613761E-3</v>
      </c>
      <c r="P44" s="116">
        <f t="shared" si="1"/>
        <v>-3.5741010657956478</v>
      </c>
    </row>
    <row r="45" spans="1:16">
      <c r="A45" s="99"/>
      <c r="B45" s="99"/>
      <c r="C45" s="101"/>
      <c r="D45" s="101"/>
      <c r="E45" s="101"/>
      <c r="F45" s="101"/>
      <c r="G45" s="101"/>
      <c r="H45" s="101"/>
      <c r="I45" s="101"/>
      <c r="J45" s="94"/>
    </row>
    <row r="46" spans="1:16">
      <c r="A46" s="99"/>
      <c r="B46" s="99"/>
      <c r="C46" s="101"/>
      <c r="D46" s="101"/>
      <c r="E46" s="101"/>
      <c r="F46" s="101"/>
      <c r="G46" s="101"/>
      <c r="H46" s="101"/>
      <c r="I46" s="101"/>
      <c r="J46" s="101"/>
    </row>
    <row r="47" spans="1:16">
      <c r="A47" s="99"/>
      <c r="B47" s="99"/>
      <c r="C47" s="101"/>
      <c r="D47" s="101"/>
      <c r="E47" s="101"/>
      <c r="F47" s="101"/>
      <c r="G47" s="101"/>
      <c r="H47" s="101"/>
      <c r="I47" s="101"/>
      <c r="J47" s="101"/>
      <c r="M47" s="130">
        <f>(-P44+8*P43-8*P42+P41)/(12*M38)</f>
        <v>-3.2444663427641824</v>
      </c>
    </row>
    <row r="48" spans="1:16">
      <c r="A48" s="99"/>
      <c r="B48" s="99"/>
      <c r="C48" s="101"/>
      <c r="D48" s="101"/>
      <c r="E48" s="101"/>
      <c r="F48" s="101"/>
      <c r="G48" s="101"/>
      <c r="H48" s="101"/>
      <c r="I48" s="101"/>
      <c r="J48" s="101"/>
    </row>
    <row r="49" spans="1:12">
      <c r="A49" s="99"/>
      <c r="B49" s="99"/>
      <c r="C49" s="101"/>
      <c r="D49" s="101"/>
      <c r="E49" s="101"/>
      <c r="F49" s="101"/>
      <c r="G49" s="101"/>
      <c r="H49" s="101"/>
      <c r="I49" s="101"/>
      <c r="K49" s="94"/>
      <c r="L49" s="94"/>
    </row>
    <row r="50" spans="1:12">
      <c r="A50" s="99"/>
      <c r="B50" s="99"/>
      <c r="C50" s="101"/>
      <c r="D50" s="101"/>
      <c r="E50" s="101"/>
      <c r="F50" s="101"/>
      <c r="G50" s="101"/>
      <c r="H50" s="101"/>
      <c r="I50" s="101"/>
    </row>
    <row r="51" spans="1:12">
      <c r="A51" s="99"/>
      <c r="B51" s="99"/>
      <c r="C51" s="101"/>
      <c r="D51" s="101"/>
      <c r="E51" s="101"/>
      <c r="F51" s="101"/>
      <c r="G51" s="101"/>
      <c r="H51" s="101"/>
      <c r="I51" s="101"/>
    </row>
    <row r="52" spans="1:12">
      <c r="A52" s="99"/>
      <c r="B52" s="99"/>
      <c r="C52" s="101"/>
      <c r="D52" s="101"/>
      <c r="E52" s="101"/>
      <c r="F52" s="101"/>
      <c r="G52" s="101"/>
      <c r="H52" s="101"/>
      <c r="I52" s="101"/>
    </row>
    <row r="53" spans="1:12">
      <c r="A53" s="99"/>
      <c r="B53" s="99"/>
      <c r="C53" s="101"/>
      <c r="D53" s="101"/>
      <c r="E53" s="101"/>
      <c r="F53" s="101"/>
      <c r="G53" s="101"/>
      <c r="H53" s="101"/>
      <c r="I53" s="101"/>
    </row>
    <row r="54" spans="1:12">
      <c r="A54" s="99"/>
      <c r="B54" s="99"/>
      <c r="C54" s="99"/>
      <c r="D54" s="99"/>
    </row>
    <row r="55" spans="1:12">
      <c r="A55" s="99"/>
      <c r="B55" s="99"/>
      <c r="C55" s="99"/>
      <c r="D55" s="99"/>
    </row>
    <row r="56" spans="1:12">
      <c r="A56" s="99"/>
      <c r="B56" s="99"/>
      <c r="C56" s="99"/>
      <c r="D56" s="99"/>
    </row>
    <row r="57" spans="1:12">
      <c r="A57" s="99"/>
      <c r="B57" s="99"/>
      <c r="C57" s="99"/>
      <c r="D57" s="99"/>
    </row>
    <row r="58" spans="1:12">
      <c r="A58" s="99"/>
      <c r="B58" s="99"/>
      <c r="C58" s="99"/>
      <c r="D58" s="99"/>
    </row>
    <row r="59" spans="1:12">
      <c r="A59" s="99"/>
      <c r="B59" s="99"/>
      <c r="C59" s="99"/>
      <c r="D59" s="99"/>
    </row>
    <row r="60" spans="1:12">
      <c r="A60" s="99"/>
      <c r="B60" s="99"/>
      <c r="C60" s="99"/>
      <c r="D60" s="99"/>
    </row>
    <row r="61" spans="1:12">
      <c r="A61" s="99"/>
      <c r="B61" s="99"/>
      <c r="C61" s="99"/>
      <c r="D61" s="99"/>
    </row>
    <row r="62" spans="1:12">
      <c r="A62" s="99"/>
      <c r="B62" s="99"/>
      <c r="C62" s="99"/>
      <c r="D62" s="99"/>
    </row>
    <row r="63" spans="1:12">
      <c r="A63" s="99"/>
      <c r="B63" s="99"/>
      <c r="C63" s="99"/>
      <c r="D63" s="99"/>
    </row>
    <row r="64" spans="1:12">
      <c r="A64" s="99"/>
      <c r="B64" s="99"/>
      <c r="C64" s="99"/>
      <c r="D64" s="99"/>
    </row>
    <row r="65" spans="1:4">
      <c r="A65" s="99"/>
      <c r="B65" s="99"/>
      <c r="C65" s="99"/>
      <c r="D65" s="99"/>
    </row>
    <row r="66" spans="1:4">
      <c r="A66" s="99"/>
      <c r="B66" s="99"/>
      <c r="C66" s="99"/>
      <c r="D66" s="99"/>
    </row>
    <row r="67" spans="1:4">
      <c r="A67" s="99"/>
      <c r="B67" s="99"/>
      <c r="C67" s="99"/>
      <c r="D67" s="99"/>
    </row>
    <row r="68" spans="1:4">
      <c r="A68" s="99"/>
      <c r="B68" s="99"/>
      <c r="C68" s="99"/>
      <c r="D68" s="99"/>
    </row>
    <row r="69" spans="1:4">
      <c r="A69" s="99"/>
      <c r="B69" s="99"/>
      <c r="C69" s="99"/>
      <c r="D69" s="99"/>
    </row>
    <row r="70" spans="1:4">
      <c r="A70" s="99"/>
      <c r="B70" s="99"/>
      <c r="C70" s="99"/>
      <c r="D70" s="99"/>
    </row>
    <row r="71" spans="1:4">
      <c r="A71" s="99"/>
      <c r="B71" s="99"/>
      <c r="C71" s="99"/>
      <c r="D71" s="99"/>
    </row>
    <row r="72" spans="1:4">
      <c r="A72" s="99"/>
      <c r="B72" s="99"/>
      <c r="C72" s="99"/>
      <c r="D72" s="99"/>
    </row>
    <row r="73" spans="1:4">
      <c r="A73" s="99"/>
      <c r="B73" s="99"/>
      <c r="C73" s="99"/>
      <c r="D73" s="99"/>
    </row>
    <row r="74" spans="1:4">
      <c r="A74" s="99"/>
      <c r="B74" s="99"/>
      <c r="C74" s="99"/>
      <c r="D74" s="99"/>
    </row>
    <row r="75" spans="1:4">
      <c r="A75" s="99"/>
      <c r="B75" s="99"/>
      <c r="C75" s="99"/>
      <c r="D75" s="99"/>
    </row>
    <row r="76" spans="1:4">
      <c r="A76" s="99"/>
      <c r="B76" s="99"/>
      <c r="C76" s="99"/>
      <c r="D76" s="99"/>
    </row>
    <row r="77" spans="1:4">
      <c r="A77" s="99"/>
      <c r="B77" s="99"/>
      <c r="C77" s="99"/>
      <c r="D77" s="99"/>
    </row>
    <row r="78" spans="1:4">
      <c r="A78" s="99"/>
      <c r="B78" s="99"/>
      <c r="C78" s="99"/>
      <c r="D78" s="99"/>
    </row>
    <row r="79" spans="1:4">
      <c r="A79" s="99"/>
      <c r="B79" s="99"/>
      <c r="C79" s="99"/>
      <c r="D79" s="99"/>
    </row>
    <row r="80" spans="1:4">
      <c r="A80" s="99"/>
      <c r="B80" s="99"/>
      <c r="C80" s="99"/>
      <c r="D80" s="99"/>
    </row>
    <row r="81" spans="1:4">
      <c r="A81" s="99"/>
      <c r="B81" s="99"/>
      <c r="C81" s="99"/>
      <c r="D81" s="99"/>
    </row>
    <row r="82" spans="1:4">
      <c r="A82" s="99"/>
      <c r="B82" s="99"/>
      <c r="C82" s="99"/>
      <c r="D82" s="99"/>
    </row>
    <row r="83" spans="1:4">
      <c r="A83" s="99"/>
      <c r="B83" s="99"/>
      <c r="C83" s="99"/>
      <c r="D83" s="99"/>
    </row>
    <row r="84" spans="1:4">
      <c r="A84" s="99"/>
      <c r="B84" s="99"/>
      <c r="C84" s="99"/>
      <c r="D84" s="99"/>
    </row>
    <row r="85" spans="1:4">
      <c r="A85" s="99"/>
      <c r="B85" s="99"/>
      <c r="C85" s="99"/>
      <c r="D85" s="99"/>
    </row>
    <row r="86" spans="1:4">
      <c r="A86" s="99"/>
      <c r="B86" s="99"/>
      <c r="C86" s="99"/>
      <c r="D86" s="99"/>
    </row>
    <row r="87" spans="1:4">
      <c r="A87" s="99"/>
      <c r="B87" s="99"/>
      <c r="C87" s="99"/>
      <c r="D87" s="99"/>
    </row>
    <row r="88" spans="1:4">
      <c r="A88" s="99"/>
      <c r="B88" s="99"/>
      <c r="C88" s="99"/>
      <c r="D88" s="99"/>
    </row>
    <row r="89" spans="1:4">
      <c r="A89" s="99"/>
      <c r="B89" s="99"/>
      <c r="C89" s="99"/>
      <c r="D89" s="99"/>
    </row>
    <row r="90" spans="1:4">
      <c r="A90" s="99"/>
      <c r="B90" s="99"/>
      <c r="C90" s="99"/>
      <c r="D90" s="99"/>
    </row>
    <row r="91" spans="1:4">
      <c r="A91" s="99"/>
      <c r="B91" s="99"/>
      <c r="C91" s="99"/>
      <c r="D91" s="99"/>
    </row>
    <row r="92" spans="1:4">
      <c r="A92" s="99"/>
      <c r="B92" s="99"/>
      <c r="C92" s="99"/>
      <c r="D92" s="99"/>
    </row>
    <row r="93" spans="1:4">
      <c r="A93" s="99"/>
      <c r="B93" s="99"/>
      <c r="C93" s="99"/>
      <c r="D93" s="99"/>
    </row>
    <row r="94" spans="1:4">
      <c r="A94" s="99"/>
      <c r="B94" s="99"/>
      <c r="C94" s="99"/>
      <c r="D94" s="99"/>
    </row>
    <row r="95" spans="1:4">
      <c r="A95" s="99"/>
      <c r="B95" s="99"/>
      <c r="C95" s="99"/>
      <c r="D95" s="99"/>
    </row>
    <row r="96" spans="1:4">
      <c r="A96" s="99"/>
      <c r="B96" s="99"/>
      <c r="C96" s="99"/>
      <c r="D96" s="99"/>
    </row>
    <row r="97" spans="1:4">
      <c r="A97" s="99"/>
      <c r="B97" s="99"/>
      <c r="C97" s="99"/>
      <c r="D97" s="99"/>
    </row>
    <row r="98" spans="1:4">
      <c r="A98" s="99"/>
      <c r="B98" s="99"/>
      <c r="C98" s="99"/>
      <c r="D98" s="99"/>
    </row>
    <row r="99" spans="1:4">
      <c r="A99" s="99"/>
      <c r="B99" s="99"/>
      <c r="C99" s="99"/>
      <c r="D99" s="99"/>
    </row>
    <row r="100" spans="1:4">
      <c r="A100" s="99"/>
      <c r="B100" s="99"/>
      <c r="C100" s="99"/>
      <c r="D100" s="99"/>
    </row>
    <row r="101" spans="1:4">
      <c r="A101" s="99"/>
      <c r="B101" s="99"/>
      <c r="C101" s="99"/>
      <c r="D101" s="99"/>
    </row>
    <row r="102" spans="1:4">
      <c r="A102" s="99"/>
      <c r="B102" s="99"/>
      <c r="C102" s="99"/>
      <c r="D102" s="99"/>
    </row>
    <row r="103" spans="1:4">
      <c r="A103" s="99"/>
      <c r="B103" s="99"/>
      <c r="C103" s="99"/>
      <c r="D103" s="99"/>
    </row>
    <row r="104" spans="1:4">
      <c r="A104" s="99"/>
      <c r="B104" s="99"/>
      <c r="C104" s="99"/>
      <c r="D104" s="99"/>
    </row>
    <row r="105" spans="1:4">
      <c r="A105" s="99"/>
      <c r="B105" s="99"/>
      <c r="C105" s="99"/>
      <c r="D105" s="99"/>
    </row>
    <row r="106" spans="1:4">
      <c r="A106" s="99"/>
      <c r="B106" s="99"/>
      <c r="C106" s="99"/>
      <c r="D106" s="99"/>
    </row>
    <row r="107" spans="1:4">
      <c r="A107" s="99"/>
      <c r="B107" s="99"/>
      <c r="C107" s="99"/>
      <c r="D107" s="99"/>
    </row>
    <row r="108" spans="1:4">
      <c r="A108" s="99"/>
      <c r="B108" s="99"/>
      <c r="C108" s="99"/>
      <c r="D108" s="99"/>
    </row>
    <row r="109" spans="1:4">
      <c r="A109" s="99"/>
      <c r="B109" s="99"/>
      <c r="C109" s="99"/>
      <c r="D109" s="99"/>
    </row>
    <row r="110" spans="1:4">
      <c r="A110" s="99"/>
      <c r="B110" s="99"/>
      <c r="C110" s="99"/>
      <c r="D110" s="99"/>
    </row>
    <row r="111" spans="1:4">
      <c r="A111" s="99"/>
      <c r="B111" s="99"/>
      <c r="C111" s="99"/>
      <c r="D111" s="99"/>
    </row>
    <row r="112" spans="1:4">
      <c r="A112" s="99"/>
      <c r="B112" s="99"/>
      <c r="C112" s="99"/>
      <c r="D112" s="99"/>
    </row>
    <row r="113" spans="1:4">
      <c r="A113" s="99"/>
      <c r="B113" s="99"/>
      <c r="C113" s="99"/>
      <c r="D113" s="99"/>
    </row>
    <row r="114" spans="1:4">
      <c r="A114" s="99"/>
      <c r="B114" s="99"/>
      <c r="C114" s="99"/>
      <c r="D114" s="99"/>
    </row>
    <row r="115" spans="1:4">
      <c r="A115" s="99"/>
      <c r="B115" s="99"/>
      <c r="C115" s="99"/>
      <c r="D115" s="99"/>
    </row>
    <row r="116" spans="1:4">
      <c r="A116" s="99"/>
      <c r="B116" s="99"/>
      <c r="C116" s="99"/>
      <c r="D116" s="99"/>
    </row>
    <row r="117" spans="1:4">
      <c r="A117" s="99"/>
      <c r="B117" s="99"/>
      <c r="C117" s="99"/>
      <c r="D117" s="99"/>
    </row>
    <row r="118" spans="1:4">
      <c r="A118" s="99"/>
      <c r="B118" s="99"/>
      <c r="C118" s="99"/>
      <c r="D118" s="99"/>
    </row>
    <row r="119" spans="1:4">
      <c r="A119" s="99"/>
      <c r="B119" s="99"/>
      <c r="C119" s="99"/>
      <c r="D119" s="99"/>
    </row>
    <row r="120" spans="1:4">
      <c r="A120" s="99"/>
      <c r="B120" s="99"/>
      <c r="C120" s="99"/>
      <c r="D120" s="99"/>
    </row>
    <row r="121" spans="1:4">
      <c r="A121" s="99"/>
      <c r="B121" s="99"/>
      <c r="C121" s="99"/>
      <c r="D121" s="99"/>
    </row>
    <row r="122" spans="1:4">
      <c r="A122" s="99"/>
      <c r="B122" s="99"/>
      <c r="C122" s="99"/>
      <c r="D122" s="99"/>
    </row>
    <row r="123" spans="1:4">
      <c r="A123" s="99"/>
      <c r="B123" s="99"/>
      <c r="C123" s="99"/>
      <c r="D123" s="99"/>
    </row>
    <row r="124" spans="1:4">
      <c r="A124" s="99"/>
      <c r="B124" s="99"/>
      <c r="C124" s="99"/>
      <c r="D124" s="99"/>
    </row>
    <row r="125" spans="1:4">
      <c r="A125" s="99"/>
      <c r="B125" s="99"/>
      <c r="C125" s="99"/>
      <c r="D125" s="99"/>
    </row>
    <row r="126" spans="1:4">
      <c r="A126" s="99"/>
      <c r="B126" s="99"/>
      <c r="C126" s="99"/>
      <c r="D126" s="99"/>
    </row>
    <row r="127" spans="1:4">
      <c r="A127" s="99"/>
      <c r="B127" s="99"/>
      <c r="C127" s="99"/>
      <c r="D127" s="99"/>
    </row>
    <row r="128" spans="1:4">
      <c r="A128" s="99"/>
      <c r="B128" s="99"/>
      <c r="C128" s="99"/>
      <c r="D128" s="99"/>
    </row>
    <row r="129" spans="1:4">
      <c r="A129" s="99"/>
      <c r="B129" s="99"/>
      <c r="C129" s="99"/>
      <c r="D129" s="99"/>
    </row>
    <row r="130" spans="1:4">
      <c r="A130" s="99"/>
      <c r="B130" s="99"/>
      <c r="C130" s="99"/>
      <c r="D130" s="99"/>
    </row>
    <row r="131" spans="1:4">
      <c r="A131" s="99"/>
      <c r="B131" s="99"/>
      <c r="C131" s="99"/>
      <c r="D131" s="99"/>
    </row>
    <row r="132" spans="1:4">
      <c r="A132" s="99"/>
      <c r="B132" s="99"/>
      <c r="C132" s="99"/>
      <c r="D132" s="99"/>
    </row>
    <row r="133" spans="1:4">
      <c r="A133" s="99"/>
      <c r="B133" s="99"/>
      <c r="C133" s="99"/>
      <c r="D133" s="99"/>
    </row>
    <row r="134" spans="1:4">
      <c r="A134" s="99"/>
      <c r="B134" s="99"/>
      <c r="C134" s="99"/>
      <c r="D134" s="99"/>
    </row>
    <row r="135" spans="1:4">
      <c r="A135" s="99"/>
      <c r="B135" s="99"/>
      <c r="C135" s="99"/>
      <c r="D135" s="99"/>
    </row>
    <row r="136" spans="1:4">
      <c r="A136" s="99"/>
      <c r="B136" s="99"/>
      <c r="C136" s="99"/>
      <c r="D136" s="99"/>
    </row>
    <row r="137" spans="1:4">
      <c r="A137" s="99"/>
      <c r="B137" s="99"/>
      <c r="C137" s="99"/>
      <c r="D137" s="99"/>
    </row>
    <row r="138" spans="1:4">
      <c r="A138" s="99"/>
      <c r="B138" s="99"/>
      <c r="C138" s="99"/>
      <c r="D138" s="99"/>
    </row>
    <row r="139" spans="1:4">
      <c r="A139" s="99"/>
      <c r="B139" s="99"/>
      <c r="C139" s="99"/>
      <c r="D139" s="99"/>
    </row>
    <row r="140" spans="1:4">
      <c r="A140" s="99"/>
      <c r="B140" s="99"/>
      <c r="C140" s="99"/>
      <c r="D140" s="99"/>
    </row>
    <row r="141" spans="1:4">
      <c r="A141" s="99"/>
      <c r="B141" s="99"/>
      <c r="C141" s="99"/>
      <c r="D141" s="99"/>
    </row>
    <row r="142" spans="1:4">
      <c r="A142" s="99"/>
      <c r="B142" s="99"/>
      <c r="C142" s="99"/>
      <c r="D142" s="99"/>
    </row>
    <row r="143" spans="1:4">
      <c r="A143" s="99"/>
      <c r="B143" s="99"/>
      <c r="C143" s="99"/>
      <c r="D143" s="99"/>
    </row>
    <row r="144" spans="1:4">
      <c r="A144" s="99"/>
      <c r="B144" s="99"/>
      <c r="C144" s="99"/>
      <c r="D144" s="99"/>
    </row>
    <row r="145" spans="1:4">
      <c r="A145" s="99"/>
      <c r="B145" s="99"/>
      <c r="C145" s="99"/>
      <c r="D145" s="99"/>
    </row>
    <row r="146" spans="1:4">
      <c r="A146" s="99"/>
      <c r="B146" s="99"/>
      <c r="C146" s="99"/>
      <c r="D146" s="99"/>
    </row>
    <row r="147" spans="1:4">
      <c r="A147" s="99"/>
      <c r="B147" s="99"/>
      <c r="C147" s="99"/>
      <c r="D147" s="99"/>
    </row>
    <row r="148" spans="1:4">
      <c r="A148" s="99"/>
      <c r="B148" s="99"/>
      <c r="C148" s="99"/>
      <c r="D148" s="99"/>
    </row>
    <row r="149" spans="1:4">
      <c r="A149" s="99"/>
      <c r="B149" s="99"/>
      <c r="C149" s="99"/>
      <c r="D149" s="99"/>
    </row>
    <row r="150" spans="1:4">
      <c r="A150" s="99"/>
      <c r="B150" s="99"/>
      <c r="C150" s="99"/>
      <c r="D150" s="99"/>
    </row>
    <row r="151" spans="1:4">
      <c r="A151" s="99"/>
      <c r="B151" s="99"/>
      <c r="C151" s="99"/>
      <c r="D151" s="99"/>
    </row>
    <row r="152" spans="1:4">
      <c r="A152" s="99"/>
      <c r="B152" s="99"/>
      <c r="C152" s="99"/>
      <c r="D152" s="99"/>
    </row>
    <row r="153" spans="1:4">
      <c r="A153" s="99"/>
      <c r="B153" s="99"/>
      <c r="C153" s="99"/>
      <c r="D153" s="99"/>
    </row>
    <row r="154" spans="1:4">
      <c r="A154" s="99"/>
      <c r="B154" s="99"/>
      <c r="C154" s="99"/>
      <c r="D154" s="99"/>
    </row>
    <row r="155" spans="1:4">
      <c r="A155" s="99"/>
      <c r="B155" s="99"/>
      <c r="C155" s="99"/>
      <c r="D155" s="99"/>
    </row>
    <row r="156" spans="1:4">
      <c r="A156" s="99"/>
      <c r="B156" s="99"/>
      <c r="C156" s="99"/>
      <c r="D156" s="99"/>
    </row>
    <row r="157" spans="1:4">
      <c r="A157" s="99"/>
      <c r="B157" s="99"/>
      <c r="C157" s="99"/>
      <c r="D157" s="99"/>
    </row>
    <row r="158" spans="1:4">
      <c r="A158" s="99"/>
      <c r="B158" s="99"/>
      <c r="C158" s="99"/>
      <c r="D158" s="99"/>
    </row>
    <row r="159" spans="1:4">
      <c r="A159" s="99"/>
      <c r="B159" s="99"/>
      <c r="C159" s="99"/>
      <c r="D159" s="99"/>
    </row>
    <row r="160" spans="1:4">
      <c r="A160" s="99"/>
      <c r="B160" s="99"/>
      <c r="C160" s="99"/>
      <c r="D160" s="99"/>
    </row>
    <row r="161" spans="1:4">
      <c r="A161" s="99"/>
      <c r="B161" s="99"/>
      <c r="C161" s="99"/>
      <c r="D161" s="99"/>
    </row>
    <row r="162" spans="1:4">
      <c r="A162" s="99"/>
      <c r="B162" s="99"/>
      <c r="C162" s="99"/>
      <c r="D162" s="99"/>
    </row>
    <row r="163" spans="1:4">
      <c r="A163" s="99"/>
      <c r="B163" s="99"/>
      <c r="C163" s="99"/>
      <c r="D163" s="99"/>
    </row>
    <row r="164" spans="1:4">
      <c r="A164" s="99"/>
      <c r="B164" s="99"/>
      <c r="C164" s="99"/>
      <c r="D164" s="99"/>
    </row>
    <row r="165" spans="1:4">
      <c r="A165" s="99"/>
      <c r="B165" s="99"/>
      <c r="C165" s="99"/>
      <c r="D165" s="99"/>
    </row>
    <row r="166" spans="1:4">
      <c r="A166" s="99"/>
      <c r="B166" s="99"/>
      <c r="C166" s="99"/>
      <c r="D166" s="99"/>
    </row>
    <row r="167" spans="1:4">
      <c r="A167" s="99"/>
      <c r="B167" s="99"/>
      <c r="C167" s="99"/>
      <c r="D167" s="99"/>
    </row>
    <row r="168" spans="1:4">
      <c r="A168" s="99"/>
      <c r="B168" s="99"/>
      <c r="C168" s="99"/>
      <c r="D168" s="99"/>
    </row>
    <row r="169" spans="1:4">
      <c r="A169" s="99"/>
      <c r="B169" s="99"/>
      <c r="C169" s="99"/>
      <c r="D169" s="99"/>
    </row>
    <row r="170" spans="1:4">
      <c r="A170" s="99"/>
      <c r="B170" s="99"/>
      <c r="C170" s="99"/>
      <c r="D170" s="99"/>
    </row>
    <row r="171" spans="1:4">
      <c r="A171" s="99"/>
      <c r="B171" s="99"/>
      <c r="C171" s="99"/>
      <c r="D171" s="99"/>
    </row>
    <row r="172" spans="1:4">
      <c r="A172" s="99"/>
      <c r="B172" s="99"/>
      <c r="C172" s="99"/>
      <c r="D172" s="99"/>
    </row>
    <row r="173" spans="1:4">
      <c r="A173" s="99"/>
      <c r="B173" s="99"/>
      <c r="C173" s="99"/>
      <c r="D173" s="99"/>
    </row>
    <row r="174" spans="1:4">
      <c r="A174" s="99"/>
      <c r="B174" s="99"/>
      <c r="C174" s="99"/>
      <c r="D174" s="99"/>
    </row>
    <row r="175" spans="1:4">
      <c r="A175" s="99"/>
      <c r="B175" s="99"/>
      <c r="C175" s="99"/>
      <c r="D175" s="99"/>
    </row>
    <row r="176" spans="1:4">
      <c r="A176" s="99"/>
      <c r="B176" s="99"/>
      <c r="C176" s="99"/>
      <c r="D176" s="99"/>
    </row>
    <row r="177" spans="1:4">
      <c r="A177" s="99"/>
      <c r="B177" s="99"/>
      <c r="C177" s="99"/>
      <c r="D177" s="99"/>
    </row>
    <row r="178" spans="1:4">
      <c r="A178" s="99"/>
      <c r="B178" s="99"/>
      <c r="C178" s="99"/>
      <c r="D178" s="99"/>
    </row>
    <row r="179" spans="1:4">
      <c r="A179" s="99"/>
      <c r="B179" s="99"/>
      <c r="C179" s="99"/>
      <c r="D179" s="99"/>
    </row>
    <row r="180" spans="1:4">
      <c r="A180" s="99"/>
      <c r="B180" s="99"/>
      <c r="C180" s="99"/>
      <c r="D180" s="99"/>
    </row>
    <row r="181" spans="1:4">
      <c r="A181" s="99"/>
      <c r="B181" s="99"/>
      <c r="C181" s="99"/>
      <c r="D181" s="99"/>
    </row>
    <row r="182" spans="1:4">
      <c r="A182" s="99"/>
      <c r="B182" s="99"/>
      <c r="C182" s="99"/>
      <c r="D182" s="99"/>
    </row>
    <row r="183" spans="1:4">
      <c r="A183" s="99"/>
      <c r="B183" s="99"/>
      <c r="C183" s="99"/>
      <c r="D183" s="99"/>
    </row>
    <row r="184" spans="1:4">
      <c r="A184" s="99"/>
      <c r="B184" s="99"/>
      <c r="C184" s="99"/>
      <c r="D184" s="99"/>
    </row>
    <row r="185" spans="1:4">
      <c r="A185" s="99"/>
      <c r="B185" s="99"/>
      <c r="C185" s="99"/>
      <c r="D185" s="99"/>
    </row>
    <row r="186" spans="1:4">
      <c r="A186" s="99"/>
      <c r="B186" s="99"/>
      <c r="C186" s="99"/>
      <c r="D186" s="99"/>
    </row>
    <row r="187" spans="1:4">
      <c r="A187" s="99"/>
      <c r="B187" s="99"/>
      <c r="C187" s="99"/>
      <c r="D187" s="99"/>
    </row>
    <row r="188" spans="1:4">
      <c r="A188" s="99"/>
      <c r="B188" s="99"/>
      <c r="C188" s="99"/>
      <c r="D188" s="99"/>
    </row>
    <row r="189" spans="1:4">
      <c r="A189" s="99"/>
      <c r="B189" s="99"/>
      <c r="C189" s="99"/>
      <c r="D189" s="99"/>
    </row>
    <row r="190" spans="1:4">
      <c r="A190" s="99"/>
      <c r="B190" s="99"/>
      <c r="C190" s="99"/>
      <c r="D190" s="99"/>
    </row>
    <row r="191" spans="1:4">
      <c r="A191" s="99"/>
      <c r="B191" s="99"/>
      <c r="C191" s="99"/>
      <c r="D191" s="99"/>
    </row>
    <row r="192" spans="1:4">
      <c r="A192" s="99"/>
      <c r="B192" s="99"/>
      <c r="C192" s="99"/>
      <c r="D192" s="99"/>
    </row>
    <row r="193" spans="1:4">
      <c r="A193" s="99"/>
      <c r="B193" s="99"/>
      <c r="C193" s="99"/>
      <c r="D193" s="99"/>
    </row>
    <row r="194" spans="1:4">
      <c r="A194" s="99"/>
      <c r="B194" s="99"/>
      <c r="C194" s="99"/>
      <c r="D194" s="99"/>
    </row>
    <row r="195" spans="1:4">
      <c r="A195" s="99"/>
      <c r="B195" s="99"/>
      <c r="C195" s="99"/>
      <c r="D195" s="99"/>
    </row>
    <row r="196" spans="1:4">
      <c r="A196" s="99"/>
      <c r="B196" s="99"/>
      <c r="C196" s="99"/>
      <c r="D196" s="99"/>
    </row>
    <row r="197" spans="1:4">
      <c r="A197" s="99"/>
      <c r="B197" s="99"/>
      <c r="C197" s="99"/>
      <c r="D197" s="99"/>
    </row>
    <row r="198" spans="1:4">
      <c r="A198" s="99"/>
      <c r="B198" s="99"/>
      <c r="C198" s="99"/>
      <c r="D198" s="99"/>
    </row>
    <row r="199" spans="1:4">
      <c r="A199" s="99"/>
      <c r="B199" s="99"/>
      <c r="C199" s="99"/>
      <c r="D199" s="99"/>
    </row>
    <row r="200" spans="1:4">
      <c r="A200" s="99"/>
      <c r="B200" s="99"/>
      <c r="C200" s="99"/>
      <c r="D200" s="99"/>
    </row>
    <row r="201" spans="1:4">
      <c r="A201" s="99"/>
      <c r="B201" s="99"/>
      <c r="C201" s="99"/>
      <c r="D201" s="99"/>
    </row>
    <row r="202" spans="1:4">
      <c r="A202" s="99"/>
      <c r="B202" s="99"/>
      <c r="C202" s="99"/>
      <c r="D202" s="99"/>
    </row>
    <row r="203" spans="1:4">
      <c r="A203" s="99"/>
      <c r="B203" s="99"/>
      <c r="C203" s="99"/>
      <c r="D203" s="99"/>
    </row>
    <row r="204" spans="1:4">
      <c r="A204" s="99"/>
      <c r="B204" s="99"/>
      <c r="C204" s="99"/>
      <c r="D204" s="99"/>
    </row>
    <row r="205" spans="1:4">
      <c r="A205" s="99"/>
      <c r="B205" s="99"/>
      <c r="C205" s="99"/>
      <c r="D205" s="99"/>
    </row>
    <row r="206" spans="1:4">
      <c r="A206" s="99"/>
      <c r="B206" s="99"/>
      <c r="C206" s="99"/>
      <c r="D206" s="99"/>
    </row>
    <row r="207" spans="1:4">
      <c r="A207" s="99"/>
      <c r="B207" s="99"/>
      <c r="C207" s="99"/>
      <c r="D207" s="99"/>
    </row>
    <row r="208" spans="1:4">
      <c r="A208" s="99"/>
      <c r="B208" s="99"/>
      <c r="C208" s="99"/>
      <c r="D208" s="99"/>
    </row>
    <row r="209" spans="1:4">
      <c r="A209" s="99"/>
      <c r="B209" s="99"/>
      <c r="C209" s="99"/>
      <c r="D209" s="99"/>
    </row>
    <row r="210" spans="1:4">
      <c r="A210" s="99"/>
      <c r="B210" s="99"/>
      <c r="C210" s="99"/>
      <c r="D210" s="99"/>
    </row>
    <row r="211" spans="1:4">
      <c r="A211" s="99"/>
      <c r="B211" s="99"/>
      <c r="C211" s="99"/>
      <c r="D211" s="99"/>
    </row>
    <row r="212" spans="1:4">
      <c r="A212" s="99"/>
      <c r="B212" s="99"/>
      <c r="C212" s="99"/>
      <c r="D212" s="99"/>
    </row>
    <row r="213" spans="1:4">
      <c r="A213" s="99"/>
      <c r="B213" s="99"/>
      <c r="C213" s="99"/>
      <c r="D213" s="99"/>
    </row>
    <row r="214" spans="1:4">
      <c r="A214" s="99"/>
      <c r="B214" s="99"/>
      <c r="C214" s="99"/>
      <c r="D214" s="99"/>
    </row>
    <row r="215" spans="1:4">
      <c r="A215" s="99"/>
      <c r="B215" s="99"/>
      <c r="C215" s="99"/>
      <c r="D215" s="99"/>
    </row>
    <row r="216" spans="1:4">
      <c r="A216" s="99"/>
      <c r="B216" s="99"/>
      <c r="C216" s="99"/>
      <c r="D216" s="99"/>
    </row>
    <row r="217" spans="1:4">
      <c r="A217" s="99"/>
      <c r="B217" s="99"/>
      <c r="C217" s="99"/>
      <c r="D217" s="99"/>
    </row>
    <row r="218" spans="1:4">
      <c r="A218" s="99"/>
      <c r="B218" s="99"/>
      <c r="C218" s="99"/>
      <c r="D218" s="99"/>
    </row>
    <row r="219" spans="1:4">
      <c r="A219" s="99"/>
      <c r="B219" s="99"/>
      <c r="C219" s="99"/>
      <c r="D219" s="99"/>
    </row>
    <row r="220" spans="1:4">
      <c r="A220" s="99"/>
      <c r="B220" s="99"/>
      <c r="C220" s="99"/>
      <c r="D220" s="99"/>
    </row>
    <row r="221" spans="1:4">
      <c r="A221" s="99"/>
      <c r="B221" s="99"/>
      <c r="C221" s="99"/>
      <c r="D221" s="99"/>
    </row>
    <row r="222" spans="1:4">
      <c r="A222" s="99"/>
      <c r="B222" s="99"/>
      <c r="C222" s="99"/>
      <c r="D222" s="99"/>
    </row>
    <row r="223" spans="1:4">
      <c r="A223" s="99"/>
      <c r="B223" s="99"/>
      <c r="C223" s="99"/>
      <c r="D223" s="99"/>
    </row>
    <row r="224" spans="1:4">
      <c r="A224" s="99"/>
      <c r="B224" s="99"/>
      <c r="C224" s="99"/>
      <c r="D224" s="99"/>
    </row>
    <row r="225" spans="1:4">
      <c r="A225" s="99"/>
      <c r="B225" s="99"/>
      <c r="C225" s="99"/>
      <c r="D225" s="99"/>
    </row>
    <row r="226" spans="1:4">
      <c r="A226" s="99"/>
      <c r="B226" s="99"/>
      <c r="C226" s="99"/>
      <c r="D226" s="99"/>
    </row>
    <row r="227" spans="1:4">
      <c r="A227" s="99"/>
      <c r="B227" s="99"/>
      <c r="C227" s="99"/>
      <c r="D227" s="99"/>
    </row>
    <row r="228" spans="1:4">
      <c r="A228" s="99"/>
      <c r="B228" s="99"/>
      <c r="C228" s="99"/>
      <c r="D228" s="99"/>
    </row>
    <row r="229" spans="1:4">
      <c r="A229" s="99"/>
      <c r="B229" s="99"/>
      <c r="C229" s="99"/>
      <c r="D229" s="99"/>
    </row>
    <row r="230" spans="1:4">
      <c r="A230" s="99"/>
      <c r="B230" s="99"/>
      <c r="C230" s="99"/>
      <c r="D230" s="99"/>
    </row>
    <row r="231" spans="1:4">
      <c r="A231" s="99"/>
      <c r="B231" s="99"/>
      <c r="C231" s="99"/>
      <c r="D231" s="99"/>
    </row>
    <row r="232" spans="1:4">
      <c r="A232" s="99"/>
      <c r="B232" s="99"/>
      <c r="C232" s="99"/>
      <c r="D232" s="99"/>
    </row>
    <row r="233" spans="1:4">
      <c r="A233" s="99"/>
      <c r="B233" s="99"/>
      <c r="C233" s="99"/>
      <c r="D233" s="99"/>
    </row>
    <row r="234" spans="1:4">
      <c r="A234" s="99"/>
      <c r="B234" s="99"/>
      <c r="C234" s="99"/>
      <c r="D234" s="99"/>
    </row>
    <row r="235" spans="1:4">
      <c r="A235" s="99"/>
      <c r="B235" s="99"/>
      <c r="C235" s="99"/>
      <c r="D235" s="99"/>
    </row>
    <row r="236" spans="1:4">
      <c r="A236" s="99"/>
      <c r="B236" s="99"/>
      <c r="C236" s="99"/>
      <c r="D236" s="99"/>
    </row>
    <row r="237" spans="1:4">
      <c r="A237" s="99"/>
      <c r="B237" s="99"/>
      <c r="C237" s="99"/>
      <c r="D237" s="99"/>
    </row>
    <row r="238" spans="1:4">
      <c r="A238" s="99"/>
      <c r="B238" s="99"/>
      <c r="C238" s="99"/>
      <c r="D238" s="99"/>
    </row>
    <row r="239" spans="1:4">
      <c r="A239" s="99"/>
      <c r="B239" s="99"/>
      <c r="C239" s="99"/>
      <c r="D239" s="99"/>
    </row>
    <row r="240" spans="1:4">
      <c r="A240" s="99"/>
      <c r="B240" s="99"/>
      <c r="C240" s="99"/>
      <c r="D240" s="99"/>
    </row>
    <row r="241" spans="1:4">
      <c r="A241" s="99"/>
      <c r="B241" s="99"/>
      <c r="C241" s="99"/>
      <c r="D241" s="99"/>
    </row>
    <row r="242" spans="1:4">
      <c r="A242" s="99"/>
      <c r="B242" s="99"/>
      <c r="C242" s="99"/>
      <c r="D242" s="99"/>
    </row>
    <row r="243" spans="1:4">
      <c r="A243" s="99"/>
      <c r="B243" s="99"/>
      <c r="C243" s="99"/>
      <c r="D243" s="99"/>
    </row>
    <row r="244" spans="1:4">
      <c r="A244" s="99"/>
      <c r="B244" s="99"/>
      <c r="C244" s="99"/>
      <c r="D244" s="99"/>
    </row>
    <row r="245" spans="1:4">
      <c r="A245" s="99"/>
      <c r="B245" s="99"/>
      <c r="C245" s="99"/>
      <c r="D245" s="99"/>
    </row>
    <row r="246" spans="1:4">
      <c r="A246" s="99"/>
      <c r="B246" s="99"/>
      <c r="C246" s="99"/>
      <c r="D246" s="99"/>
    </row>
    <row r="247" spans="1:4">
      <c r="A247" s="99"/>
      <c r="B247" s="99"/>
      <c r="C247" s="99"/>
      <c r="D247" s="99"/>
    </row>
    <row r="248" spans="1:4">
      <c r="A248" s="99"/>
      <c r="B248" s="99"/>
      <c r="C248" s="99"/>
      <c r="D248" s="99"/>
    </row>
    <row r="249" spans="1:4">
      <c r="A249" s="99"/>
      <c r="B249" s="99"/>
      <c r="C249" s="99"/>
      <c r="D249" s="99"/>
    </row>
    <row r="250" spans="1:4">
      <c r="A250" s="99"/>
      <c r="B250" s="99"/>
      <c r="C250" s="99"/>
      <c r="D250" s="99"/>
    </row>
    <row r="251" spans="1:4">
      <c r="A251" s="99"/>
      <c r="B251" s="99"/>
      <c r="C251" s="99"/>
      <c r="D251" s="99"/>
    </row>
    <row r="252" spans="1:4">
      <c r="A252" s="99"/>
      <c r="B252" s="99"/>
      <c r="C252" s="99"/>
      <c r="D252" s="99"/>
    </row>
    <row r="253" spans="1:4">
      <c r="A253" s="99"/>
      <c r="B253" s="99"/>
      <c r="C253" s="99"/>
      <c r="D253" s="99"/>
    </row>
    <row r="254" spans="1:4">
      <c r="A254" s="99"/>
      <c r="B254" s="99"/>
      <c r="C254" s="99"/>
      <c r="D254" s="99"/>
    </row>
    <row r="255" spans="1:4">
      <c r="A255" s="99"/>
      <c r="B255" s="99"/>
      <c r="C255" s="99"/>
      <c r="D255" s="99"/>
    </row>
    <row r="256" spans="1:4">
      <c r="A256" s="99"/>
      <c r="B256" s="99"/>
      <c r="C256" s="99"/>
      <c r="D256" s="99"/>
    </row>
    <row r="257" spans="1:4">
      <c r="A257" s="99"/>
      <c r="B257" s="99"/>
      <c r="C257" s="99"/>
      <c r="D257" s="99"/>
    </row>
    <row r="258" spans="1:4">
      <c r="A258" s="99"/>
      <c r="B258" s="99"/>
      <c r="C258" s="99"/>
      <c r="D258" s="99"/>
    </row>
    <row r="259" spans="1:4">
      <c r="A259" s="99"/>
      <c r="B259" s="99"/>
      <c r="C259" s="99"/>
      <c r="D259" s="99"/>
    </row>
    <row r="260" spans="1:4">
      <c r="A260" s="99"/>
      <c r="B260" s="99"/>
      <c r="C260" s="99"/>
      <c r="D260" s="99"/>
    </row>
    <row r="261" spans="1:4">
      <c r="A261" s="99"/>
      <c r="B261" s="99"/>
      <c r="C261" s="99"/>
      <c r="D261" s="99"/>
    </row>
    <row r="262" spans="1:4">
      <c r="A262" s="99"/>
      <c r="B262" s="99"/>
      <c r="C262" s="99"/>
      <c r="D262" s="99"/>
    </row>
    <row r="263" spans="1:4">
      <c r="A263" s="99"/>
      <c r="B263" s="99"/>
      <c r="C263" s="99"/>
      <c r="D263" s="99"/>
    </row>
    <row r="264" spans="1:4">
      <c r="A264" s="99"/>
      <c r="B264" s="99"/>
      <c r="C264" s="99"/>
      <c r="D264" s="99"/>
    </row>
    <row r="265" spans="1:4">
      <c r="A265" s="99"/>
      <c r="B265" s="99"/>
      <c r="C265" s="99"/>
      <c r="D265" s="99"/>
    </row>
    <row r="266" spans="1:4">
      <c r="A266" s="99"/>
      <c r="B266" s="99"/>
      <c r="C266" s="99"/>
      <c r="D266" s="99"/>
    </row>
    <row r="267" spans="1:4">
      <c r="A267" s="99"/>
      <c r="B267" s="99"/>
      <c r="C267" s="99"/>
      <c r="D267" s="99"/>
    </row>
    <row r="268" spans="1:4">
      <c r="A268" s="99"/>
      <c r="B268" s="99"/>
      <c r="C268" s="99"/>
      <c r="D268" s="99"/>
    </row>
    <row r="269" spans="1:4">
      <c r="A269" s="99"/>
      <c r="B269" s="99"/>
      <c r="C269" s="99"/>
      <c r="D269" s="99"/>
    </row>
    <row r="270" spans="1:4">
      <c r="A270" s="99"/>
      <c r="B270" s="99"/>
      <c r="C270" s="99"/>
      <c r="D270" s="99"/>
    </row>
    <row r="271" spans="1:4">
      <c r="A271" s="99"/>
      <c r="B271" s="99"/>
      <c r="C271" s="99"/>
      <c r="D271" s="99"/>
    </row>
    <row r="272" spans="1:4">
      <c r="A272" s="99"/>
      <c r="B272" s="99"/>
      <c r="C272" s="99"/>
      <c r="D272" s="99"/>
    </row>
    <row r="273" spans="1:4">
      <c r="A273" s="99"/>
      <c r="B273" s="99"/>
      <c r="C273" s="99"/>
      <c r="D273" s="99"/>
    </row>
    <row r="274" spans="1:4">
      <c r="A274" s="99"/>
      <c r="B274" s="99"/>
      <c r="C274" s="99"/>
      <c r="D274" s="99"/>
    </row>
    <row r="275" spans="1:4">
      <c r="A275" s="99"/>
      <c r="B275" s="99"/>
      <c r="C275" s="99"/>
      <c r="D275" s="99"/>
    </row>
    <row r="276" spans="1:4">
      <c r="A276" s="99"/>
      <c r="B276" s="99"/>
      <c r="C276" s="99"/>
      <c r="D276" s="99"/>
    </row>
    <row r="277" spans="1:4">
      <c r="A277" s="99"/>
      <c r="B277" s="99"/>
      <c r="C277" s="99"/>
      <c r="D277" s="99"/>
    </row>
    <row r="278" spans="1:4">
      <c r="A278" s="99"/>
      <c r="B278" s="99"/>
      <c r="C278" s="99"/>
      <c r="D278" s="99"/>
    </row>
    <row r="279" spans="1:4">
      <c r="A279" s="99"/>
      <c r="B279" s="99"/>
      <c r="C279" s="99"/>
      <c r="D279" s="99"/>
    </row>
    <row r="280" spans="1:4">
      <c r="A280" s="99"/>
      <c r="B280" s="99"/>
      <c r="C280" s="99"/>
      <c r="D280" s="99"/>
    </row>
    <row r="281" spans="1:4">
      <c r="A281" s="99"/>
      <c r="B281" s="99"/>
      <c r="C281" s="99"/>
      <c r="D281" s="99"/>
    </row>
    <row r="282" spans="1:4">
      <c r="A282" s="99"/>
      <c r="B282" s="99"/>
      <c r="C282" s="99"/>
      <c r="D282" s="99"/>
    </row>
    <row r="283" spans="1:4">
      <c r="A283" s="99"/>
      <c r="B283" s="99"/>
      <c r="C283" s="99"/>
      <c r="D283" s="99"/>
    </row>
    <row r="284" spans="1:4">
      <c r="A284" s="99"/>
      <c r="B284" s="99"/>
      <c r="C284" s="99"/>
      <c r="D284" s="99"/>
    </row>
    <row r="285" spans="1:4">
      <c r="A285" s="99"/>
      <c r="B285" s="99"/>
      <c r="C285" s="99"/>
      <c r="D285" s="99"/>
    </row>
    <row r="286" spans="1:4">
      <c r="A286" s="99"/>
      <c r="B286" s="99"/>
      <c r="C286" s="99"/>
      <c r="D286" s="99"/>
    </row>
    <row r="287" spans="1:4">
      <c r="A287" s="99"/>
      <c r="B287" s="99"/>
      <c r="C287" s="99"/>
      <c r="D287" s="99"/>
    </row>
    <row r="288" spans="1:4">
      <c r="A288" s="99"/>
      <c r="B288" s="99"/>
      <c r="C288" s="99"/>
      <c r="D288" s="99"/>
    </row>
    <row r="289" spans="1:4">
      <c r="A289" s="99"/>
      <c r="B289" s="99"/>
      <c r="C289" s="99"/>
      <c r="D289" s="99"/>
    </row>
    <row r="290" spans="1:4">
      <c r="A290" s="99"/>
      <c r="B290" s="99"/>
      <c r="C290" s="99"/>
      <c r="D290" s="99"/>
    </row>
    <row r="291" spans="1:4">
      <c r="A291" s="99"/>
      <c r="B291" s="99"/>
      <c r="C291" s="99"/>
      <c r="D291" s="99"/>
    </row>
    <row r="292" spans="1:4">
      <c r="A292" s="99"/>
      <c r="B292" s="99"/>
      <c r="C292" s="99"/>
      <c r="D292" s="99"/>
    </row>
    <row r="293" spans="1:4">
      <c r="A293" s="99"/>
      <c r="B293" s="99"/>
      <c r="C293" s="99"/>
      <c r="D293" s="99"/>
    </row>
    <row r="294" spans="1:4">
      <c r="A294" s="99"/>
      <c r="B294" s="99"/>
      <c r="C294" s="99"/>
      <c r="D294" s="99"/>
    </row>
    <row r="295" spans="1:4">
      <c r="A295" s="99"/>
      <c r="B295" s="99"/>
      <c r="C295" s="99"/>
      <c r="D295" s="99"/>
    </row>
    <row r="296" spans="1:4">
      <c r="A296" s="99"/>
      <c r="B296" s="99"/>
      <c r="C296" s="99"/>
      <c r="D296" s="99"/>
    </row>
    <row r="297" spans="1:4">
      <c r="A297" s="99"/>
      <c r="B297" s="99"/>
      <c r="C297" s="99"/>
      <c r="D297" s="99"/>
    </row>
    <row r="298" spans="1:4">
      <c r="A298" s="99"/>
      <c r="B298" s="99"/>
      <c r="C298" s="99"/>
      <c r="D298" s="99"/>
    </row>
    <row r="299" spans="1:4">
      <c r="A299" s="99"/>
      <c r="B299" s="99"/>
      <c r="C299" s="99"/>
      <c r="D299" s="99"/>
    </row>
    <row r="300" spans="1:4">
      <c r="A300" s="99"/>
      <c r="B300" s="99"/>
      <c r="C300" s="99"/>
      <c r="D300" s="99"/>
    </row>
    <row r="301" spans="1:4">
      <c r="A301" s="99"/>
      <c r="B301" s="99"/>
      <c r="C301" s="99"/>
      <c r="D301" s="99"/>
    </row>
    <row r="302" spans="1:4">
      <c r="A302" s="99"/>
      <c r="B302" s="99"/>
      <c r="C302" s="99"/>
      <c r="D302" s="99"/>
    </row>
    <row r="303" spans="1:4">
      <c r="A303" s="99"/>
      <c r="B303" s="99"/>
      <c r="C303" s="99"/>
      <c r="D303" s="99"/>
    </row>
    <row r="304" spans="1:4">
      <c r="A304" s="99"/>
      <c r="B304" s="99"/>
      <c r="C304" s="99"/>
      <c r="D304" s="99"/>
    </row>
    <row r="305" spans="1:4">
      <c r="A305" s="99"/>
      <c r="B305" s="99"/>
      <c r="C305" s="99"/>
      <c r="D305" s="99"/>
    </row>
    <row r="306" spans="1:4">
      <c r="A306" s="99"/>
      <c r="B306" s="99"/>
      <c r="C306" s="99"/>
      <c r="D306" s="99"/>
    </row>
    <row r="307" spans="1:4">
      <c r="A307" s="99"/>
      <c r="B307" s="99"/>
      <c r="C307" s="99"/>
      <c r="D307" s="99"/>
    </row>
    <row r="308" spans="1:4">
      <c r="A308" s="99"/>
      <c r="B308" s="99"/>
      <c r="C308" s="99"/>
      <c r="D308" s="99"/>
    </row>
    <row r="309" spans="1:4">
      <c r="A309" s="99"/>
      <c r="B309" s="99"/>
      <c r="C309" s="99"/>
      <c r="D309" s="99"/>
    </row>
    <row r="310" spans="1:4">
      <c r="A310" s="99"/>
      <c r="B310" s="99"/>
      <c r="C310" s="99"/>
      <c r="D310" s="99"/>
    </row>
    <row r="311" spans="1:4">
      <c r="A311" s="99"/>
      <c r="B311" s="99"/>
      <c r="C311" s="99"/>
      <c r="D311" s="99"/>
    </row>
    <row r="312" spans="1:4">
      <c r="A312" s="99"/>
      <c r="B312" s="99"/>
      <c r="C312" s="99"/>
      <c r="D312" s="99"/>
    </row>
    <row r="313" spans="1:4">
      <c r="A313" s="99"/>
      <c r="B313" s="99"/>
      <c r="C313" s="99"/>
      <c r="D313" s="99"/>
    </row>
    <row r="314" spans="1:4">
      <c r="A314" s="99"/>
      <c r="B314" s="99"/>
      <c r="C314" s="99"/>
      <c r="D314" s="99"/>
    </row>
    <row r="315" spans="1:4">
      <c r="A315" s="99"/>
      <c r="B315" s="99"/>
      <c r="C315" s="99"/>
      <c r="D315" s="99"/>
    </row>
    <row r="316" spans="1:4">
      <c r="A316" s="99"/>
      <c r="B316" s="99"/>
      <c r="C316" s="99"/>
      <c r="D316" s="99"/>
    </row>
    <row r="317" spans="1:4">
      <c r="A317" s="99"/>
      <c r="B317" s="99"/>
      <c r="C317" s="99"/>
      <c r="D317" s="99"/>
    </row>
    <row r="318" spans="1:4">
      <c r="A318" s="99"/>
      <c r="B318" s="99"/>
      <c r="C318" s="99"/>
      <c r="D318" s="99"/>
    </row>
    <row r="319" spans="1:4">
      <c r="A319" s="99"/>
      <c r="B319" s="99"/>
      <c r="C319" s="99"/>
      <c r="D319" s="99"/>
    </row>
    <row r="320" spans="1:4">
      <c r="A320" s="99"/>
      <c r="B320" s="99"/>
      <c r="C320" s="99"/>
      <c r="D320" s="99"/>
    </row>
    <row r="321" spans="1:4">
      <c r="A321" s="99"/>
      <c r="B321" s="99"/>
      <c r="C321" s="99"/>
      <c r="D321" s="99"/>
    </row>
    <row r="322" spans="1:4">
      <c r="A322" s="99"/>
      <c r="B322" s="99"/>
      <c r="C322" s="99"/>
      <c r="D322" s="99"/>
    </row>
    <row r="323" spans="1:4">
      <c r="A323" s="99"/>
      <c r="B323" s="99"/>
      <c r="C323" s="99"/>
      <c r="D323" s="99"/>
    </row>
    <row r="324" spans="1:4">
      <c r="A324" s="99"/>
      <c r="B324" s="99"/>
      <c r="C324" s="99"/>
      <c r="D324" s="99"/>
    </row>
    <row r="325" spans="1:4">
      <c r="A325" s="99"/>
      <c r="B325" s="99"/>
      <c r="C325" s="99"/>
      <c r="D325" s="99"/>
    </row>
    <row r="326" spans="1:4">
      <c r="A326" s="99"/>
      <c r="B326" s="99"/>
      <c r="C326" s="99"/>
      <c r="D326" s="99"/>
    </row>
    <row r="327" spans="1:4">
      <c r="A327" s="99"/>
      <c r="B327" s="99"/>
      <c r="C327" s="99"/>
      <c r="D327" s="99"/>
    </row>
    <row r="328" spans="1:4">
      <c r="A328" s="99"/>
      <c r="B328" s="99"/>
      <c r="C328" s="99"/>
      <c r="D328" s="99"/>
    </row>
    <row r="329" spans="1:4">
      <c r="A329" s="99"/>
      <c r="B329" s="99"/>
      <c r="C329" s="99"/>
      <c r="D329" s="99"/>
    </row>
    <row r="330" spans="1:4">
      <c r="A330" s="99"/>
      <c r="B330" s="99"/>
      <c r="C330" s="99"/>
      <c r="D330" s="99"/>
    </row>
    <row r="331" spans="1:4">
      <c r="A331" s="99"/>
      <c r="B331" s="99"/>
      <c r="C331" s="99"/>
      <c r="D331" s="99"/>
    </row>
    <row r="332" spans="1:4">
      <c r="A332" s="99"/>
      <c r="B332" s="99"/>
      <c r="C332" s="99"/>
      <c r="D332" s="99"/>
    </row>
    <row r="333" spans="1:4">
      <c r="A333" s="99"/>
      <c r="B333" s="99"/>
      <c r="C333" s="99"/>
      <c r="D333" s="99"/>
    </row>
    <row r="334" spans="1:4">
      <c r="A334" s="99"/>
      <c r="B334" s="99"/>
      <c r="C334" s="99"/>
      <c r="D334" s="99"/>
    </row>
    <row r="335" spans="1:4">
      <c r="A335" s="99"/>
      <c r="B335" s="99"/>
      <c r="C335" s="99"/>
      <c r="D335" s="99"/>
    </row>
    <row r="336" spans="1:4">
      <c r="A336" s="99"/>
      <c r="B336" s="99"/>
      <c r="C336" s="99"/>
      <c r="D336" s="99"/>
    </row>
    <row r="337" spans="1:4">
      <c r="A337" s="99"/>
      <c r="B337" s="99"/>
      <c r="C337" s="99"/>
      <c r="D337" s="99"/>
    </row>
    <row r="338" spans="1:4">
      <c r="A338" s="99"/>
      <c r="B338" s="99"/>
      <c r="C338" s="99"/>
      <c r="D338" s="99"/>
    </row>
    <row r="339" spans="1:4">
      <c r="A339" s="99"/>
      <c r="B339" s="99"/>
      <c r="C339" s="99"/>
      <c r="D339" s="99"/>
    </row>
    <row r="340" spans="1:4">
      <c r="A340" s="99"/>
      <c r="B340" s="99"/>
      <c r="C340" s="99"/>
      <c r="D340" s="99"/>
    </row>
    <row r="341" spans="1:4">
      <c r="A341" s="99"/>
      <c r="B341" s="99"/>
      <c r="C341" s="99"/>
      <c r="D341" s="99"/>
    </row>
    <row r="342" spans="1:4">
      <c r="A342" s="99"/>
      <c r="B342" s="99"/>
      <c r="C342" s="99"/>
      <c r="D342" s="99"/>
    </row>
    <row r="343" spans="1:4">
      <c r="A343" s="99"/>
      <c r="B343" s="99"/>
      <c r="C343" s="99"/>
      <c r="D343" s="99"/>
    </row>
    <row r="344" spans="1:4">
      <c r="A344" s="99"/>
      <c r="B344" s="99"/>
      <c r="C344" s="99"/>
      <c r="D344" s="99"/>
    </row>
    <row r="345" spans="1:4">
      <c r="A345" s="99"/>
      <c r="B345" s="99"/>
      <c r="C345" s="99"/>
      <c r="D345" s="99"/>
    </row>
    <row r="346" spans="1:4">
      <c r="A346" s="99"/>
      <c r="B346" s="99"/>
      <c r="C346" s="99"/>
      <c r="D346" s="99"/>
    </row>
    <row r="347" spans="1:4">
      <c r="A347" s="99"/>
      <c r="B347" s="99"/>
      <c r="C347" s="99"/>
      <c r="D347" s="99"/>
    </row>
    <row r="348" spans="1:4">
      <c r="A348" s="99"/>
      <c r="B348" s="99"/>
      <c r="C348" s="99"/>
      <c r="D348" s="99"/>
    </row>
    <row r="349" spans="1:4">
      <c r="A349" s="99"/>
      <c r="B349" s="99"/>
      <c r="C349" s="99"/>
      <c r="D349" s="99"/>
    </row>
    <row r="350" spans="1:4">
      <c r="A350" s="99"/>
      <c r="B350" s="99"/>
      <c r="C350" s="99"/>
      <c r="D350" s="99"/>
    </row>
    <row r="351" spans="1:4">
      <c r="A351" s="99"/>
      <c r="B351" s="99"/>
      <c r="C351" s="99"/>
      <c r="D351" s="99"/>
    </row>
    <row r="352" spans="1:4">
      <c r="A352" s="99"/>
      <c r="B352" s="99"/>
      <c r="C352" s="99"/>
      <c r="D352" s="99"/>
    </row>
    <row r="353" spans="1:4">
      <c r="A353" s="99"/>
      <c r="B353" s="99"/>
      <c r="C353" s="99"/>
      <c r="D353" s="99"/>
    </row>
    <row r="354" spans="1:4">
      <c r="A354" s="99"/>
      <c r="B354" s="99"/>
      <c r="C354" s="99"/>
      <c r="D354" s="99"/>
    </row>
    <row r="355" spans="1:4">
      <c r="A355" s="99"/>
      <c r="B355" s="99"/>
      <c r="C355" s="99"/>
      <c r="D355" s="99"/>
    </row>
    <row r="356" spans="1:4">
      <c r="A356" s="99"/>
      <c r="B356" s="99"/>
      <c r="C356" s="99"/>
      <c r="D356" s="99"/>
    </row>
    <row r="357" spans="1:4">
      <c r="A357" s="99"/>
      <c r="B357" s="99"/>
      <c r="C357" s="99"/>
      <c r="D357" s="99"/>
    </row>
    <row r="358" spans="1:4">
      <c r="A358" s="99"/>
      <c r="B358" s="99"/>
      <c r="C358" s="99"/>
      <c r="D358" s="99"/>
    </row>
    <row r="359" spans="1:4">
      <c r="A359" s="99"/>
      <c r="B359" s="99"/>
      <c r="C359" s="99"/>
      <c r="D359" s="99"/>
    </row>
    <row r="360" spans="1:4">
      <c r="A360" s="99"/>
      <c r="B360" s="99"/>
      <c r="C360" s="99"/>
      <c r="D360" s="99"/>
    </row>
    <row r="361" spans="1:4">
      <c r="A361" s="99"/>
      <c r="B361" s="99"/>
      <c r="C361" s="99"/>
      <c r="D361" s="99"/>
    </row>
    <row r="362" spans="1:4">
      <c r="A362" s="99"/>
      <c r="B362" s="99"/>
      <c r="C362" s="99"/>
      <c r="D362" s="99"/>
    </row>
    <row r="363" spans="1:4">
      <c r="A363" s="99"/>
      <c r="B363" s="99"/>
      <c r="C363" s="99"/>
      <c r="D363" s="99"/>
    </row>
    <row r="364" spans="1:4">
      <c r="A364" s="99"/>
      <c r="B364" s="99"/>
      <c r="C364" s="99"/>
      <c r="D364" s="99"/>
    </row>
    <row r="365" spans="1:4">
      <c r="A365" s="99"/>
      <c r="B365" s="99"/>
      <c r="C365" s="99"/>
      <c r="D365" s="99"/>
    </row>
    <row r="366" spans="1:4">
      <c r="A366" s="99"/>
      <c r="B366" s="99"/>
      <c r="C366" s="99"/>
      <c r="D366" s="99"/>
    </row>
    <row r="367" spans="1:4">
      <c r="A367" s="99"/>
      <c r="B367" s="99"/>
      <c r="C367" s="99"/>
      <c r="D367" s="99"/>
    </row>
    <row r="368" spans="1:4">
      <c r="A368" s="99"/>
      <c r="B368" s="99"/>
      <c r="C368" s="99"/>
      <c r="D368" s="99"/>
    </row>
    <row r="369" spans="1:4">
      <c r="A369" s="99"/>
      <c r="B369" s="99"/>
      <c r="C369" s="99"/>
      <c r="D369" s="99"/>
    </row>
    <row r="370" spans="1:4">
      <c r="A370" s="99"/>
      <c r="B370" s="99"/>
      <c r="C370" s="99"/>
      <c r="D370" s="99"/>
    </row>
    <row r="371" spans="1:4">
      <c r="A371" s="99"/>
      <c r="B371" s="99"/>
      <c r="C371" s="99"/>
      <c r="D371" s="99"/>
    </row>
    <row r="372" spans="1:4">
      <c r="A372" s="99"/>
      <c r="B372" s="99"/>
      <c r="C372" s="99"/>
      <c r="D372" s="99"/>
    </row>
    <row r="373" spans="1:4">
      <c r="A373" s="99"/>
      <c r="B373" s="99"/>
      <c r="C373" s="99"/>
      <c r="D373" s="99"/>
    </row>
    <row r="374" spans="1:4">
      <c r="A374" s="99"/>
      <c r="B374" s="99"/>
      <c r="C374" s="99"/>
      <c r="D374" s="99"/>
    </row>
    <row r="375" spans="1:4">
      <c r="A375" s="99"/>
      <c r="B375" s="99"/>
      <c r="C375" s="99"/>
      <c r="D375" s="99"/>
    </row>
    <row r="376" spans="1:4">
      <c r="A376" s="99"/>
      <c r="B376" s="99"/>
      <c r="C376" s="99"/>
      <c r="D376" s="99"/>
    </row>
    <row r="377" spans="1:4">
      <c r="A377" s="99"/>
      <c r="B377" s="99"/>
      <c r="C377" s="99"/>
      <c r="D377" s="99"/>
    </row>
    <row r="378" spans="1:4">
      <c r="A378" s="99"/>
      <c r="B378" s="99"/>
      <c r="C378" s="99"/>
      <c r="D378" s="99"/>
    </row>
    <row r="379" spans="1:4">
      <c r="A379" s="99"/>
      <c r="B379" s="99"/>
      <c r="C379" s="99"/>
      <c r="D379" s="99"/>
    </row>
    <row r="380" spans="1:4">
      <c r="A380" s="99"/>
      <c r="B380" s="99"/>
      <c r="C380" s="99"/>
      <c r="D380" s="99"/>
    </row>
    <row r="381" spans="1:4">
      <c r="A381" s="99"/>
      <c r="B381" s="99"/>
      <c r="C381" s="99"/>
      <c r="D381" s="99"/>
    </row>
    <row r="382" spans="1:4">
      <c r="A382" s="99"/>
      <c r="B382" s="99"/>
      <c r="C382" s="99"/>
      <c r="D382" s="99"/>
    </row>
    <row r="383" spans="1:4">
      <c r="A383" s="99"/>
      <c r="B383" s="99"/>
      <c r="C383" s="99"/>
      <c r="D383" s="99"/>
    </row>
    <row r="384" spans="1:4">
      <c r="A384" s="99"/>
      <c r="B384" s="99"/>
      <c r="C384" s="99"/>
      <c r="D384" s="99"/>
    </row>
    <row r="385" spans="1:4">
      <c r="A385" s="99"/>
      <c r="B385" s="99"/>
      <c r="C385" s="99"/>
      <c r="D385" s="99"/>
    </row>
    <row r="386" spans="1:4">
      <c r="A386" s="99"/>
      <c r="B386" s="99"/>
      <c r="C386" s="99"/>
      <c r="D386" s="99"/>
    </row>
    <row r="387" spans="1:4">
      <c r="A387" s="99"/>
      <c r="B387" s="99"/>
      <c r="C387" s="99"/>
      <c r="D387" s="99"/>
    </row>
    <row r="388" spans="1:4">
      <c r="A388" s="99"/>
      <c r="B388" s="99"/>
      <c r="C388" s="99"/>
      <c r="D388" s="99"/>
    </row>
    <row r="389" spans="1:4">
      <c r="A389" s="99"/>
      <c r="B389" s="99"/>
      <c r="C389" s="99"/>
      <c r="D389" s="99"/>
    </row>
  </sheetData>
  <pageMargins left="0.7" right="0.7" top="0.75" bottom="0.75" header="0.3" footer="0.3"/>
  <pageSetup paperSize="9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5665E-FEE1-4220-8FE9-0E7F9429D12D}">
  <sheetPr codeName="Sheet10"/>
  <dimension ref="A1:O304"/>
  <sheetViews>
    <sheetView tabSelected="1" zoomScale="130" zoomScaleNormal="130" workbookViewId="0">
      <selection activeCell="B4" sqref="B4"/>
    </sheetView>
  </sheetViews>
  <sheetFormatPr defaultColWidth="9.109375" defaultRowHeight="14.4"/>
  <cols>
    <col min="1" max="1" width="20.33203125" style="139" customWidth="1"/>
    <col min="2" max="8" width="11.44140625" style="139" customWidth="1"/>
    <col min="9" max="9" width="11.88671875" style="139" customWidth="1"/>
    <col min="10" max="15" width="12.33203125" style="139" customWidth="1"/>
    <col min="16" max="16" width="15.109375" style="139" customWidth="1"/>
    <col min="17" max="19" width="12.33203125" style="139" customWidth="1"/>
    <col min="20" max="20" width="18.109375" style="139" bestFit="1" customWidth="1"/>
    <col min="21" max="16384" width="9.109375" style="139"/>
  </cols>
  <sheetData>
    <row r="1" spans="1:15">
      <c r="A1" s="139" t="s">
        <v>132</v>
      </c>
      <c r="F1" s="140"/>
    </row>
    <row r="2" spans="1:15" ht="15.6">
      <c r="D2" s="139" t="s">
        <v>133</v>
      </c>
      <c r="E2" s="141"/>
      <c r="F2" s="142" t="s">
        <v>68</v>
      </c>
      <c r="G2" s="143" t="s">
        <v>134</v>
      </c>
    </row>
    <row r="3" spans="1:15">
      <c r="A3" s="144" t="s">
        <v>1</v>
      </c>
      <c r="B3" s="145">
        <v>233.14999999999998</v>
      </c>
      <c r="C3" s="139" t="s">
        <v>2</v>
      </c>
      <c r="E3" s="146" t="s">
        <v>135</v>
      </c>
      <c r="F3" s="147">
        <v>0.36478456406367621</v>
      </c>
      <c r="G3" s="148">
        <f>'PC-SAFT Liquid'!T17</f>
        <v>1276369.4735853318</v>
      </c>
      <c r="O3" s="149"/>
    </row>
    <row r="4" spans="1:15">
      <c r="A4" s="144" t="s">
        <v>136</v>
      </c>
      <c r="B4" s="147">
        <v>1276369.4735856401</v>
      </c>
      <c r="C4" s="139" t="s">
        <v>124</v>
      </c>
      <c r="E4" s="146" t="s">
        <v>137</v>
      </c>
      <c r="F4" s="147">
        <v>1.2733658785437574E-2</v>
      </c>
      <c r="G4" s="148">
        <f>'PC-SAFT Vapour'!T17</f>
        <v>1276369.4734221511</v>
      </c>
      <c r="O4" s="149"/>
    </row>
    <row r="5" spans="1:15">
      <c r="H5" s="145"/>
      <c r="O5" s="149"/>
    </row>
    <row r="6" spans="1:15" ht="15.6">
      <c r="A6" s="150" t="s">
        <v>4</v>
      </c>
      <c r="B6" s="151" t="s">
        <v>5</v>
      </c>
      <c r="C6" s="151" t="s">
        <v>138</v>
      </c>
      <c r="D6" s="151" t="s">
        <v>139</v>
      </c>
      <c r="E6" s="151"/>
      <c r="F6" s="152"/>
      <c r="G6" s="151" t="s">
        <v>140</v>
      </c>
      <c r="H6" s="153" t="s">
        <v>141</v>
      </c>
      <c r="O6" s="149"/>
    </row>
    <row r="7" spans="1:15">
      <c r="A7" s="154" t="s">
        <v>86</v>
      </c>
      <c r="B7" s="155">
        <v>1</v>
      </c>
      <c r="C7" s="156">
        <v>0.1</v>
      </c>
      <c r="D7" s="156">
        <v>0.72466289283432894</v>
      </c>
      <c r="E7" s="157">
        <f>'PC-SAFT Liquid'!T19</f>
        <v>6.9061960852382667</v>
      </c>
      <c r="F7" s="158">
        <f>'PC-SAFT Vapour'!T19</f>
        <v>0.95301737018075117</v>
      </c>
      <c r="G7" s="159">
        <f>C7*E7/F7</f>
        <v>0.72466633886520082</v>
      </c>
      <c r="H7" s="160">
        <f>G7/G$10</f>
        <v>0.72465779409446163</v>
      </c>
      <c r="O7" s="149"/>
    </row>
    <row r="8" spans="1:15">
      <c r="A8" s="154" t="s">
        <v>87</v>
      </c>
      <c r="B8" s="155">
        <v>2</v>
      </c>
      <c r="C8" s="156">
        <v>0.3</v>
      </c>
      <c r="D8" s="156">
        <v>0.20293191372324873</v>
      </c>
      <c r="E8" s="157">
        <f>'PC-SAFT Liquid'!T20</f>
        <v>0.56321564210183694</v>
      </c>
      <c r="F8" s="158">
        <f>'PC-SAFT Vapour'!T20</f>
        <v>0.83259643512613213</v>
      </c>
      <c r="G8" s="159">
        <f t="shared" ref="G8:G9" si="0">C8*E8/F8</f>
        <v>0.20293708392464374</v>
      </c>
      <c r="H8" s="160">
        <f>G8/G$10</f>
        <v>0.20293469102909495</v>
      </c>
      <c r="O8" s="149"/>
    </row>
    <row r="9" spans="1:15">
      <c r="A9" s="154" t="s">
        <v>88</v>
      </c>
      <c r="B9" s="155">
        <v>3</v>
      </c>
      <c r="C9" s="156">
        <v>0.6</v>
      </c>
      <c r="D9" s="156">
        <v>7.24051934424223E-2</v>
      </c>
      <c r="E9" s="157">
        <f>'PC-SAFT Liquid'!T21</f>
        <v>9.0015263024461695E-2</v>
      </c>
      <c r="F9" s="158">
        <f>'PC-SAFT Vapour'!T21</f>
        <v>0.74589662506330201</v>
      </c>
      <c r="G9" s="159">
        <f t="shared" si="0"/>
        <v>7.2408368666493722E-2</v>
      </c>
      <c r="H9" s="160">
        <f>G9/G$10</f>
        <v>7.2407514876443493E-2</v>
      </c>
      <c r="O9" s="149"/>
    </row>
    <row r="10" spans="1:15">
      <c r="A10" s="161" t="s">
        <v>142</v>
      </c>
      <c r="B10" s="162"/>
      <c r="C10" s="161">
        <f>SUM(C7:C9)</f>
        <v>1</v>
      </c>
      <c r="D10" s="161">
        <f>SUM(D7:D9)</f>
        <v>1</v>
      </c>
      <c r="E10" s="161"/>
      <c r="F10" s="163"/>
      <c r="G10" s="164">
        <f>SUM(G7:G9)</f>
        <v>1.0000117914563382</v>
      </c>
      <c r="H10" s="161">
        <f>SUM(H7:H9)</f>
        <v>1.0000000000000002</v>
      </c>
      <c r="O10" s="149"/>
    </row>
    <row r="11" spans="1:15">
      <c r="O11" s="149"/>
    </row>
    <row r="12" spans="1:15">
      <c r="A12" s="145"/>
      <c r="B12" s="145"/>
      <c r="D12" s="145"/>
      <c r="E12" s="145"/>
      <c r="F12" s="145"/>
      <c r="G12" s="147">
        <f>G10*B4</f>
        <v>1276384.5238405594</v>
      </c>
      <c r="H12" s="145"/>
      <c r="O12" s="149"/>
    </row>
    <row r="13" spans="1:15">
      <c r="A13" s="145"/>
      <c r="B13" s="145"/>
      <c r="C13" s="145"/>
      <c r="E13" s="145"/>
      <c r="F13" s="145"/>
      <c r="G13" s="145"/>
      <c r="H13" s="145"/>
      <c r="O13" s="149"/>
    </row>
    <row r="14" spans="1:15">
      <c r="A14" s="145"/>
      <c r="B14" s="145"/>
      <c r="C14" s="145"/>
      <c r="D14" s="165" t="s">
        <v>143</v>
      </c>
      <c r="E14" s="145"/>
      <c r="F14" s="145"/>
      <c r="G14" s="145"/>
      <c r="H14" s="145"/>
      <c r="O14" s="149"/>
    </row>
    <row r="15" spans="1:15" ht="15.6">
      <c r="A15" s="145"/>
      <c r="B15" s="145"/>
      <c r="C15" s="145"/>
      <c r="D15" s="165" t="s">
        <v>144</v>
      </c>
      <c r="E15" s="145"/>
      <c r="F15" s="145"/>
      <c r="G15" s="145"/>
      <c r="H15" s="145"/>
      <c r="O15" s="149"/>
    </row>
    <row r="16" spans="1:15">
      <c r="A16" s="145"/>
      <c r="B16" s="145"/>
      <c r="C16" s="145"/>
      <c r="D16" s="139" t="s">
        <v>145</v>
      </c>
      <c r="E16" s="145"/>
      <c r="F16" s="145"/>
      <c r="G16" s="145"/>
      <c r="H16" s="145"/>
      <c r="O16" s="149"/>
    </row>
    <row r="17" spans="1:15">
      <c r="A17" s="145"/>
      <c r="B17" s="145"/>
      <c r="C17" s="145"/>
      <c r="D17" s="139" t="s">
        <v>146</v>
      </c>
      <c r="E17" s="145"/>
      <c r="F17" s="145"/>
      <c r="G17" s="145"/>
      <c r="H17" s="145"/>
      <c r="O17" s="149"/>
    </row>
    <row r="18" spans="1:15">
      <c r="A18" s="145"/>
      <c r="B18" s="145"/>
      <c r="C18" s="145"/>
      <c r="E18" s="145"/>
      <c r="F18" s="145"/>
      <c r="G18" s="145"/>
      <c r="H18" s="145"/>
      <c r="O18" s="149"/>
    </row>
    <row r="19" spans="1:15">
      <c r="A19" s="145"/>
      <c r="B19" s="145"/>
      <c r="C19" s="145"/>
      <c r="D19" s="145"/>
      <c r="E19" s="145"/>
      <c r="F19" s="145"/>
      <c r="G19" s="145"/>
      <c r="H19" s="145"/>
      <c r="O19" s="149"/>
    </row>
    <row r="20" spans="1:15">
      <c r="A20" s="145"/>
      <c r="B20" s="145"/>
      <c r="C20" s="145"/>
      <c r="D20" s="145"/>
      <c r="E20" s="145"/>
      <c r="F20" s="145"/>
      <c r="G20" s="145"/>
      <c r="H20" s="145"/>
      <c r="O20" s="149"/>
    </row>
    <row r="21" spans="1:15">
      <c r="A21" s="145"/>
      <c r="B21" s="145"/>
      <c r="C21" s="145"/>
      <c r="D21" s="145"/>
      <c r="E21" s="145"/>
      <c r="F21" s="145"/>
      <c r="G21" s="145"/>
      <c r="H21" s="145"/>
      <c r="O21" s="149"/>
    </row>
    <row r="22" spans="1:15">
      <c r="A22" s="145"/>
      <c r="B22" s="145"/>
      <c r="C22" s="145"/>
      <c r="D22" s="145"/>
      <c r="E22" s="145"/>
      <c r="F22" s="145"/>
      <c r="G22" s="145"/>
      <c r="H22" s="145"/>
      <c r="O22" s="149"/>
    </row>
    <row r="23" spans="1:15">
      <c r="A23" s="145"/>
      <c r="B23" s="145"/>
      <c r="C23" s="145"/>
      <c r="D23" s="145"/>
      <c r="E23" s="145"/>
      <c r="F23" s="145"/>
      <c r="G23" s="145"/>
      <c r="H23" s="145"/>
      <c r="O23" s="149"/>
    </row>
    <row r="24" spans="1:15">
      <c r="A24" s="145"/>
      <c r="B24" s="145"/>
      <c r="C24" s="145"/>
      <c r="D24" s="145"/>
      <c r="E24" s="145"/>
      <c r="F24" s="145"/>
      <c r="G24" s="145"/>
      <c r="H24" s="145"/>
      <c r="O24" s="149"/>
    </row>
    <row r="25" spans="1:15">
      <c r="A25" s="145"/>
      <c r="B25" s="145"/>
      <c r="C25" s="145"/>
      <c r="D25" s="145"/>
      <c r="E25" s="145"/>
      <c r="F25" s="145"/>
      <c r="G25" s="145"/>
      <c r="H25" s="145"/>
      <c r="O25" s="149"/>
    </row>
    <row r="26" spans="1:15">
      <c r="A26" s="145"/>
      <c r="B26" s="145"/>
      <c r="C26" s="145"/>
      <c r="D26" s="145"/>
      <c r="E26" s="145"/>
      <c r="F26" s="145"/>
      <c r="G26" s="145"/>
      <c r="H26" s="145"/>
      <c r="O26" s="149"/>
    </row>
    <row r="27" spans="1:15">
      <c r="A27" s="145"/>
      <c r="B27" s="145"/>
      <c r="C27" s="145"/>
      <c r="D27" s="145"/>
      <c r="E27" s="145"/>
      <c r="F27" s="145"/>
      <c r="G27" s="145"/>
      <c r="H27" s="145"/>
      <c r="O27" s="149"/>
    </row>
    <row r="28" spans="1:15">
      <c r="A28" s="145"/>
      <c r="B28" s="145"/>
      <c r="C28" s="145"/>
      <c r="D28" s="145"/>
      <c r="E28" s="145"/>
      <c r="F28" s="145"/>
      <c r="G28" s="145"/>
      <c r="H28" s="145"/>
      <c r="O28" s="149"/>
    </row>
    <row r="29" spans="1:15">
      <c r="A29" s="145"/>
      <c r="B29" s="145"/>
      <c r="C29" s="145"/>
      <c r="D29" s="145"/>
      <c r="E29" s="145"/>
      <c r="F29" s="145"/>
      <c r="G29" s="145"/>
      <c r="H29" s="145"/>
      <c r="O29" s="149"/>
    </row>
    <row r="30" spans="1:15">
      <c r="A30" s="145"/>
      <c r="B30" s="145"/>
      <c r="C30" s="145"/>
      <c r="D30" s="145"/>
      <c r="E30" s="145"/>
      <c r="F30" s="145"/>
      <c r="G30" s="145"/>
      <c r="H30" s="145"/>
      <c r="O30" s="149"/>
    </row>
    <row r="31" spans="1:15">
      <c r="A31" s="145"/>
      <c r="B31" s="145"/>
      <c r="C31" s="145"/>
      <c r="D31" s="145"/>
      <c r="E31" s="145"/>
      <c r="F31" s="145"/>
      <c r="G31" s="145"/>
      <c r="H31" s="145"/>
      <c r="O31" s="149"/>
    </row>
    <row r="32" spans="1:15">
      <c r="A32" s="145"/>
      <c r="B32" s="145"/>
      <c r="C32" s="145"/>
      <c r="D32" s="145"/>
      <c r="E32" s="145"/>
      <c r="F32" s="145"/>
      <c r="G32" s="145"/>
      <c r="H32" s="145"/>
      <c r="O32" s="149"/>
    </row>
    <row r="33" spans="1:15">
      <c r="A33" s="145"/>
      <c r="B33" s="145"/>
      <c r="C33" s="145"/>
      <c r="D33" s="145"/>
      <c r="E33" s="145"/>
      <c r="F33" s="145"/>
      <c r="G33" s="145"/>
      <c r="H33" s="145"/>
      <c r="O33" s="149"/>
    </row>
    <row r="34" spans="1:15">
      <c r="A34" s="145"/>
      <c r="B34" s="145"/>
      <c r="C34" s="145"/>
      <c r="D34" s="145"/>
      <c r="E34" s="145"/>
      <c r="F34" s="145"/>
      <c r="G34" s="145"/>
      <c r="H34" s="145"/>
      <c r="O34" s="149"/>
    </row>
    <row r="35" spans="1:15">
      <c r="A35" s="145"/>
      <c r="B35" s="145"/>
      <c r="C35" s="145"/>
      <c r="D35" s="145"/>
      <c r="E35" s="145"/>
      <c r="F35" s="145"/>
      <c r="G35" s="145"/>
      <c r="H35" s="145"/>
      <c r="O35" s="149"/>
    </row>
    <row r="36" spans="1:15">
      <c r="A36" s="145"/>
      <c r="B36" s="145"/>
      <c r="C36" s="145"/>
      <c r="D36" s="145"/>
      <c r="E36" s="145"/>
      <c r="F36" s="145"/>
      <c r="G36" s="145"/>
      <c r="H36" s="145"/>
      <c r="O36" s="149"/>
    </row>
    <row r="37" spans="1:15">
      <c r="A37" s="145"/>
      <c r="B37" s="145"/>
      <c r="C37" s="145"/>
      <c r="D37" s="145"/>
      <c r="E37" s="145"/>
      <c r="F37" s="145"/>
      <c r="G37" s="145"/>
      <c r="H37" s="145"/>
      <c r="O37" s="149"/>
    </row>
    <row r="38" spans="1:15">
      <c r="A38" s="145"/>
      <c r="B38" s="145"/>
      <c r="C38" s="145"/>
      <c r="D38" s="145"/>
      <c r="E38" s="145"/>
      <c r="F38" s="145"/>
      <c r="G38" s="145"/>
      <c r="H38" s="145"/>
      <c r="O38" s="149"/>
    </row>
    <row r="39" spans="1:15">
      <c r="A39" s="145"/>
      <c r="B39" s="145"/>
      <c r="C39" s="145"/>
      <c r="D39" s="145"/>
      <c r="E39" s="145"/>
      <c r="F39" s="145"/>
      <c r="G39" s="145"/>
      <c r="H39" s="145"/>
      <c r="O39" s="149"/>
    </row>
    <row r="40" spans="1:15">
      <c r="A40" s="145"/>
      <c r="B40" s="145"/>
      <c r="C40" s="145"/>
      <c r="D40" s="145"/>
      <c r="E40" s="145"/>
      <c r="F40" s="145"/>
      <c r="G40" s="145"/>
      <c r="H40" s="145"/>
      <c r="O40" s="149"/>
    </row>
    <row r="41" spans="1:15">
      <c r="A41" s="145"/>
      <c r="B41" s="145"/>
      <c r="C41" s="145"/>
      <c r="D41" s="145"/>
      <c r="E41" s="145"/>
      <c r="F41" s="145"/>
      <c r="G41" s="145"/>
      <c r="H41" s="145"/>
      <c r="O41" s="149"/>
    </row>
    <row r="42" spans="1:15">
      <c r="A42" s="145"/>
      <c r="B42" s="145"/>
      <c r="C42" s="145"/>
      <c r="D42" s="145"/>
      <c r="E42" s="145"/>
      <c r="F42" s="145"/>
      <c r="G42" s="145"/>
      <c r="H42" s="145"/>
      <c r="O42" s="149"/>
    </row>
    <row r="43" spans="1:15">
      <c r="A43" s="145"/>
      <c r="B43" s="145"/>
      <c r="C43" s="145"/>
      <c r="D43" s="145"/>
      <c r="E43" s="145"/>
      <c r="F43" s="145"/>
      <c r="G43" s="145"/>
      <c r="H43" s="145"/>
      <c r="O43" s="149"/>
    </row>
    <row r="44" spans="1:15">
      <c r="A44" s="145"/>
      <c r="B44" s="145"/>
      <c r="C44" s="145"/>
      <c r="D44" s="145"/>
      <c r="E44" s="145"/>
      <c r="F44" s="145"/>
      <c r="G44" s="145"/>
      <c r="H44" s="145"/>
      <c r="O44" s="149"/>
    </row>
    <row r="45" spans="1:15">
      <c r="A45" s="145"/>
      <c r="B45" s="145"/>
      <c r="C45" s="145"/>
      <c r="D45" s="145"/>
      <c r="E45" s="145"/>
      <c r="F45" s="145"/>
      <c r="G45" s="145"/>
      <c r="H45" s="145"/>
      <c r="O45" s="149"/>
    </row>
    <row r="46" spans="1:15">
      <c r="A46" s="145"/>
      <c r="B46" s="145"/>
      <c r="C46" s="145"/>
      <c r="D46" s="145"/>
      <c r="E46" s="145"/>
      <c r="F46" s="145"/>
      <c r="G46" s="145"/>
      <c r="H46" s="145"/>
      <c r="O46" s="149"/>
    </row>
    <row r="47" spans="1:15">
      <c r="A47" s="145"/>
      <c r="B47" s="145"/>
      <c r="C47" s="145"/>
      <c r="D47" s="145"/>
      <c r="E47" s="145"/>
      <c r="F47" s="145"/>
      <c r="G47" s="145"/>
      <c r="H47" s="145"/>
      <c r="O47" s="149"/>
    </row>
    <row r="48" spans="1:15">
      <c r="A48" s="145"/>
      <c r="B48" s="145"/>
      <c r="C48" s="145"/>
      <c r="D48" s="145"/>
      <c r="E48" s="145"/>
      <c r="F48" s="145"/>
      <c r="G48" s="145"/>
      <c r="H48" s="145"/>
      <c r="O48" s="149"/>
    </row>
    <row r="49" spans="1:15">
      <c r="A49" s="145"/>
      <c r="B49" s="145"/>
      <c r="C49" s="145"/>
      <c r="D49" s="145"/>
      <c r="E49" s="145"/>
      <c r="F49" s="145"/>
      <c r="G49" s="145"/>
      <c r="H49" s="145"/>
      <c r="O49" s="149"/>
    </row>
    <row r="50" spans="1:15">
      <c r="A50" s="145"/>
      <c r="B50" s="145"/>
      <c r="C50" s="145"/>
      <c r="D50" s="145"/>
      <c r="E50" s="145"/>
      <c r="F50" s="145"/>
      <c r="G50" s="145"/>
      <c r="H50" s="145"/>
      <c r="O50" s="149"/>
    </row>
    <row r="51" spans="1:15">
      <c r="A51" s="145"/>
      <c r="B51" s="145"/>
      <c r="C51" s="145"/>
      <c r="D51" s="145"/>
      <c r="E51" s="145"/>
      <c r="F51" s="145"/>
      <c r="G51" s="145"/>
      <c r="H51" s="145"/>
      <c r="O51" s="149"/>
    </row>
    <row r="52" spans="1:15">
      <c r="A52" s="145"/>
      <c r="B52" s="145"/>
      <c r="C52" s="145"/>
      <c r="D52" s="145"/>
      <c r="E52" s="145"/>
      <c r="F52" s="145"/>
      <c r="G52" s="145"/>
      <c r="H52" s="145"/>
      <c r="O52" s="149"/>
    </row>
    <row r="53" spans="1:15">
      <c r="A53" s="145"/>
      <c r="B53" s="145"/>
      <c r="C53" s="145"/>
      <c r="D53" s="145"/>
      <c r="E53" s="145"/>
      <c r="F53" s="145"/>
      <c r="G53" s="145"/>
      <c r="H53" s="145"/>
      <c r="O53" s="149"/>
    </row>
    <row r="54" spans="1:15">
      <c r="A54" s="145"/>
      <c r="B54" s="145"/>
      <c r="C54" s="145"/>
      <c r="D54" s="145"/>
      <c r="E54" s="145"/>
      <c r="F54" s="145"/>
      <c r="G54" s="145"/>
      <c r="H54" s="145"/>
      <c r="O54" s="149"/>
    </row>
    <row r="55" spans="1:15">
      <c r="A55" s="145"/>
      <c r="B55" s="145"/>
      <c r="C55" s="145"/>
      <c r="D55" s="145"/>
      <c r="E55" s="145"/>
      <c r="F55" s="145"/>
      <c r="G55" s="145"/>
      <c r="H55" s="145"/>
      <c r="O55" s="149"/>
    </row>
    <row r="56" spans="1:15">
      <c r="A56" s="145"/>
      <c r="B56" s="145"/>
      <c r="C56" s="145"/>
      <c r="D56" s="145"/>
      <c r="E56" s="145"/>
      <c r="F56" s="145"/>
      <c r="G56" s="145"/>
      <c r="H56" s="145"/>
      <c r="O56" s="149"/>
    </row>
    <row r="57" spans="1:15">
      <c r="A57" s="145"/>
      <c r="B57" s="145"/>
      <c r="C57" s="145"/>
      <c r="D57" s="145"/>
      <c r="E57" s="145"/>
      <c r="F57" s="145"/>
      <c r="G57" s="145"/>
      <c r="H57" s="145"/>
      <c r="O57" s="149"/>
    </row>
    <row r="58" spans="1:15">
      <c r="A58" s="145"/>
      <c r="B58" s="145"/>
      <c r="C58" s="145"/>
      <c r="D58" s="145"/>
      <c r="E58" s="145"/>
      <c r="F58" s="145"/>
      <c r="G58" s="145"/>
      <c r="H58" s="145"/>
      <c r="O58" s="149"/>
    </row>
    <row r="59" spans="1:15">
      <c r="A59" s="145"/>
      <c r="B59" s="145"/>
      <c r="C59" s="145"/>
      <c r="D59" s="145"/>
      <c r="E59" s="145"/>
      <c r="F59" s="145"/>
      <c r="G59" s="145"/>
      <c r="H59" s="145"/>
      <c r="O59" s="149"/>
    </row>
    <row r="60" spans="1:15">
      <c r="A60" s="145"/>
      <c r="B60" s="145"/>
      <c r="C60" s="145"/>
      <c r="D60" s="145"/>
      <c r="E60" s="145"/>
      <c r="F60" s="145"/>
      <c r="G60" s="145"/>
      <c r="H60" s="145"/>
      <c r="O60" s="149"/>
    </row>
    <row r="61" spans="1:15">
      <c r="A61" s="145"/>
      <c r="B61" s="145"/>
      <c r="C61" s="145"/>
      <c r="D61" s="145"/>
      <c r="E61" s="145"/>
      <c r="F61" s="145"/>
      <c r="G61" s="145"/>
      <c r="H61" s="145"/>
      <c r="O61" s="149"/>
    </row>
    <row r="62" spans="1:15">
      <c r="A62" s="145"/>
      <c r="B62" s="145"/>
      <c r="C62" s="145"/>
      <c r="D62" s="145"/>
      <c r="E62" s="145"/>
      <c r="F62" s="145"/>
      <c r="G62" s="145"/>
      <c r="H62" s="145"/>
      <c r="O62" s="149"/>
    </row>
    <row r="63" spans="1:15">
      <c r="A63" s="145"/>
      <c r="B63" s="145"/>
      <c r="C63" s="145"/>
      <c r="D63" s="145"/>
      <c r="E63" s="145"/>
      <c r="F63" s="145"/>
      <c r="G63" s="145"/>
      <c r="H63" s="145"/>
      <c r="O63" s="149"/>
    </row>
    <row r="64" spans="1:15">
      <c r="A64" s="145"/>
      <c r="B64" s="145"/>
      <c r="C64" s="145"/>
      <c r="D64" s="145"/>
      <c r="E64" s="145"/>
      <c r="F64" s="145"/>
      <c r="G64" s="145"/>
      <c r="H64" s="145"/>
      <c r="O64" s="149"/>
    </row>
    <row r="65" spans="1:15">
      <c r="A65" s="145"/>
      <c r="B65" s="145"/>
      <c r="C65" s="145"/>
      <c r="D65" s="145"/>
      <c r="E65" s="145"/>
      <c r="F65" s="145"/>
      <c r="G65" s="145"/>
      <c r="H65" s="145"/>
      <c r="O65" s="149"/>
    </row>
    <row r="66" spans="1:15">
      <c r="A66" s="145"/>
      <c r="B66" s="145"/>
      <c r="C66" s="145"/>
      <c r="D66" s="145"/>
      <c r="E66" s="145"/>
      <c r="F66" s="145"/>
      <c r="G66" s="145"/>
      <c r="H66" s="145"/>
      <c r="O66" s="149"/>
    </row>
    <row r="67" spans="1:15">
      <c r="A67" s="145"/>
      <c r="B67" s="145"/>
      <c r="C67" s="145"/>
      <c r="D67" s="145"/>
      <c r="E67" s="145"/>
      <c r="F67" s="145"/>
      <c r="G67" s="145"/>
      <c r="H67" s="145"/>
      <c r="O67" s="149"/>
    </row>
    <row r="68" spans="1:15">
      <c r="A68" s="145"/>
      <c r="B68" s="145"/>
      <c r="C68" s="145"/>
      <c r="D68" s="145"/>
      <c r="E68" s="145"/>
      <c r="F68" s="145"/>
      <c r="G68" s="145"/>
      <c r="H68" s="145"/>
      <c r="O68" s="149"/>
    </row>
    <row r="69" spans="1:15">
      <c r="A69" s="145"/>
      <c r="B69" s="145"/>
      <c r="C69" s="145"/>
      <c r="D69" s="145"/>
      <c r="E69" s="145"/>
      <c r="F69" s="145"/>
      <c r="G69" s="145"/>
      <c r="H69" s="145"/>
      <c r="O69" s="149"/>
    </row>
    <row r="70" spans="1:15">
      <c r="A70" s="145"/>
      <c r="B70" s="145"/>
      <c r="C70" s="145"/>
      <c r="D70" s="145"/>
      <c r="E70" s="145"/>
      <c r="F70" s="145"/>
      <c r="G70" s="145"/>
      <c r="H70" s="145"/>
      <c r="O70" s="149"/>
    </row>
    <row r="71" spans="1:15">
      <c r="A71" s="145"/>
      <c r="B71" s="145"/>
      <c r="C71" s="145"/>
      <c r="D71" s="145"/>
      <c r="E71" s="145"/>
      <c r="F71" s="145"/>
      <c r="G71" s="145"/>
      <c r="H71" s="145"/>
      <c r="O71" s="149"/>
    </row>
    <row r="72" spans="1:15">
      <c r="A72" s="145"/>
      <c r="B72" s="145"/>
      <c r="C72" s="145"/>
      <c r="D72" s="145"/>
      <c r="E72" s="145"/>
      <c r="F72" s="145"/>
      <c r="G72" s="145"/>
      <c r="H72" s="145"/>
      <c r="O72" s="149"/>
    </row>
    <row r="73" spans="1:15">
      <c r="A73" s="145"/>
      <c r="B73" s="145"/>
      <c r="C73" s="145"/>
      <c r="D73" s="145"/>
      <c r="E73" s="145"/>
      <c r="F73" s="145"/>
      <c r="G73" s="145"/>
      <c r="H73" s="145"/>
      <c r="O73" s="149"/>
    </row>
    <row r="74" spans="1:15">
      <c r="A74" s="145"/>
      <c r="B74" s="145"/>
      <c r="C74" s="145"/>
      <c r="D74" s="145"/>
      <c r="E74" s="145"/>
      <c r="F74" s="145"/>
      <c r="G74" s="145"/>
      <c r="H74" s="145"/>
      <c r="O74" s="149"/>
    </row>
    <row r="75" spans="1:15">
      <c r="A75" s="145"/>
      <c r="B75" s="145"/>
      <c r="C75" s="145"/>
      <c r="D75" s="145"/>
      <c r="E75" s="145"/>
      <c r="F75" s="145"/>
      <c r="G75" s="145"/>
      <c r="H75" s="145"/>
      <c r="O75" s="149"/>
    </row>
    <row r="76" spans="1:15">
      <c r="A76" s="145"/>
      <c r="B76" s="145"/>
      <c r="C76" s="145"/>
      <c r="D76" s="145"/>
      <c r="E76" s="145"/>
      <c r="F76" s="145"/>
      <c r="G76" s="145"/>
      <c r="H76" s="145"/>
      <c r="O76" s="149"/>
    </row>
    <row r="77" spans="1:15">
      <c r="A77" s="145"/>
      <c r="B77" s="145"/>
      <c r="C77" s="145"/>
      <c r="D77" s="145"/>
      <c r="E77" s="145"/>
      <c r="F77" s="145"/>
      <c r="G77" s="145"/>
      <c r="H77" s="145"/>
      <c r="O77" s="149"/>
    </row>
    <row r="78" spans="1:15">
      <c r="A78" s="145"/>
      <c r="B78" s="145"/>
      <c r="C78" s="145"/>
      <c r="D78" s="145"/>
      <c r="E78" s="145"/>
      <c r="F78" s="145"/>
      <c r="G78" s="145"/>
      <c r="H78" s="145"/>
      <c r="O78" s="149"/>
    </row>
    <row r="79" spans="1:15">
      <c r="A79" s="145"/>
      <c r="B79" s="145"/>
      <c r="C79" s="145"/>
      <c r="D79" s="145"/>
      <c r="E79" s="145"/>
      <c r="F79" s="145"/>
      <c r="G79" s="145"/>
      <c r="H79" s="145"/>
      <c r="O79" s="149"/>
    </row>
    <row r="80" spans="1:15">
      <c r="A80" s="145"/>
      <c r="B80" s="145"/>
      <c r="C80" s="145"/>
      <c r="D80" s="145"/>
      <c r="E80" s="145"/>
      <c r="F80" s="145"/>
      <c r="G80" s="145"/>
      <c r="H80" s="145"/>
      <c r="O80" s="149"/>
    </row>
    <row r="81" spans="1:15">
      <c r="A81" s="145"/>
      <c r="B81" s="145"/>
      <c r="C81" s="145"/>
      <c r="D81" s="145"/>
      <c r="E81" s="145"/>
      <c r="F81" s="145"/>
      <c r="G81" s="145"/>
      <c r="H81" s="145"/>
      <c r="O81" s="149"/>
    </row>
    <row r="82" spans="1:15">
      <c r="A82" s="145"/>
      <c r="B82" s="145"/>
      <c r="C82" s="145"/>
      <c r="D82" s="145"/>
      <c r="E82" s="145"/>
      <c r="F82" s="145"/>
      <c r="G82" s="145"/>
      <c r="H82" s="145"/>
      <c r="O82" s="149"/>
    </row>
    <row r="83" spans="1:15">
      <c r="A83" s="145"/>
      <c r="B83" s="145"/>
      <c r="C83" s="145"/>
      <c r="D83" s="145"/>
      <c r="E83" s="145"/>
      <c r="F83" s="145"/>
      <c r="G83" s="145"/>
      <c r="H83" s="145"/>
      <c r="O83" s="149"/>
    </row>
    <row r="84" spans="1:15">
      <c r="A84" s="145"/>
      <c r="B84" s="145"/>
      <c r="C84" s="145"/>
      <c r="D84" s="145"/>
      <c r="E84" s="145"/>
      <c r="F84" s="145"/>
      <c r="G84" s="145"/>
      <c r="H84" s="145"/>
      <c r="O84" s="149"/>
    </row>
    <row r="85" spans="1:15">
      <c r="A85" s="145"/>
      <c r="B85" s="145"/>
      <c r="C85" s="145"/>
      <c r="D85" s="145"/>
      <c r="E85" s="145"/>
      <c r="F85" s="145"/>
      <c r="G85" s="145"/>
      <c r="H85" s="145"/>
      <c r="O85" s="149"/>
    </row>
    <row r="86" spans="1:15">
      <c r="A86" s="145"/>
      <c r="B86" s="145"/>
      <c r="C86" s="145"/>
      <c r="D86" s="145"/>
      <c r="E86" s="145"/>
      <c r="F86" s="145"/>
      <c r="G86" s="145"/>
      <c r="H86" s="145"/>
      <c r="O86" s="149"/>
    </row>
    <row r="87" spans="1:15">
      <c r="A87" s="145"/>
      <c r="B87" s="145"/>
      <c r="C87" s="145"/>
      <c r="D87" s="145"/>
      <c r="E87" s="145"/>
      <c r="F87" s="145"/>
      <c r="G87" s="145"/>
      <c r="H87" s="145"/>
      <c r="O87" s="149"/>
    </row>
    <row r="88" spans="1:15">
      <c r="A88" s="145"/>
      <c r="B88" s="145"/>
      <c r="C88" s="145"/>
      <c r="D88" s="145"/>
      <c r="E88" s="145"/>
      <c r="F88" s="145"/>
      <c r="G88" s="145"/>
      <c r="H88" s="145"/>
      <c r="O88" s="149"/>
    </row>
    <row r="89" spans="1:15">
      <c r="A89" s="145"/>
      <c r="B89" s="145"/>
      <c r="C89" s="145"/>
      <c r="D89" s="145"/>
      <c r="E89" s="145"/>
      <c r="F89" s="145"/>
      <c r="G89" s="145"/>
      <c r="H89" s="145"/>
      <c r="O89" s="149"/>
    </row>
    <row r="90" spans="1:15">
      <c r="A90" s="145"/>
      <c r="B90" s="145"/>
      <c r="C90" s="145"/>
      <c r="D90" s="145"/>
      <c r="E90" s="145"/>
      <c r="F90" s="145"/>
      <c r="G90" s="145"/>
      <c r="H90" s="145"/>
      <c r="O90" s="149"/>
    </row>
    <row r="91" spans="1:15">
      <c r="A91" s="145"/>
      <c r="B91" s="145"/>
      <c r="C91" s="145"/>
      <c r="D91" s="145"/>
      <c r="E91" s="145"/>
      <c r="F91" s="145"/>
      <c r="G91" s="145"/>
      <c r="H91" s="145"/>
      <c r="O91" s="149"/>
    </row>
    <row r="92" spans="1:15">
      <c r="A92" s="145"/>
      <c r="B92" s="145"/>
      <c r="C92" s="145"/>
      <c r="D92" s="145"/>
      <c r="E92" s="145"/>
      <c r="F92" s="145"/>
      <c r="G92" s="145"/>
      <c r="H92" s="145"/>
      <c r="O92" s="149"/>
    </row>
    <row r="93" spans="1:15">
      <c r="A93" s="145"/>
      <c r="B93" s="145"/>
      <c r="C93" s="145"/>
      <c r="D93" s="145"/>
      <c r="E93" s="145"/>
      <c r="F93" s="145"/>
      <c r="G93" s="145"/>
      <c r="H93" s="145"/>
      <c r="O93" s="149"/>
    </row>
    <row r="94" spans="1:15">
      <c r="A94" s="145"/>
      <c r="B94" s="145"/>
      <c r="C94" s="145"/>
      <c r="D94" s="145"/>
      <c r="E94" s="145"/>
      <c r="F94" s="145"/>
      <c r="G94" s="145"/>
      <c r="H94" s="145"/>
      <c r="O94" s="149"/>
    </row>
    <row r="95" spans="1:15">
      <c r="A95" s="145"/>
      <c r="B95" s="145"/>
      <c r="C95" s="145"/>
      <c r="D95" s="145"/>
      <c r="E95" s="145"/>
      <c r="F95" s="145"/>
      <c r="G95" s="145"/>
      <c r="H95" s="145"/>
      <c r="O95" s="149"/>
    </row>
    <row r="96" spans="1:15">
      <c r="A96" s="145"/>
      <c r="B96" s="145"/>
      <c r="C96" s="145"/>
      <c r="D96" s="145"/>
      <c r="E96" s="145"/>
      <c r="F96" s="145"/>
      <c r="G96" s="145"/>
      <c r="H96" s="145"/>
      <c r="O96" s="149"/>
    </row>
    <row r="97" spans="1:15">
      <c r="A97" s="145"/>
      <c r="B97" s="145"/>
      <c r="C97" s="145"/>
      <c r="D97" s="145"/>
      <c r="E97" s="145"/>
      <c r="F97" s="145"/>
      <c r="G97" s="145"/>
      <c r="H97" s="145"/>
      <c r="O97" s="149"/>
    </row>
    <row r="98" spans="1:15">
      <c r="A98" s="145"/>
      <c r="B98" s="145"/>
      <c r="C98" s="145"/>
      <c r="D98" s="145"/>
      <c r="E98" s="145"/>
      <c r="F98" s="145"/>
      <c r="G98" s="145"/>
      <c r="H98" s="145"/>
      <c r="O98" s="149"/>
    </row>
    <row r="99" spans="1:15">
      <c r="A99" s="145"/>
      <c r="B99" s="145"/>
      <c r="C99" s="145"/>
      <c r="D99" s="145"/>
      <c r="E99" s="145"/>
      <c r="F99" s="145"/>
      <c r="G99" s="145"/>
      <c r="H99" s="145"/>
      <c r="O99" s="149"/>
    </row>
    <row r="100" spans="1:15">
      <c r="A100" s="145"/>
      <c r="B100" s="145"/>
      <c r="C100" s="145"/>
      <c r="D100" s="145"/>
      <c r="E100" s="145"/>
      <c r="F100" s="145"/>
      <c r="G100" s="145"/>
      <c r="H100" s="145"/>
      <c r="O100" s="149"/>
    </row>
    <row r="101" spans="1:15">
      <c r="A101" s="145"/>
      <c r="B101" s="145"/>
      <c r="C101" s="145"/>
      <c r="D101" s="145"/>
      <c r="E101" s="145"/>
      <c r="F101" s="145"/>
      <c r="G101" s="145"/>
      <c r="H101" s="145"/>
      <c r="O101" s="149"/>
    </row>
    <row r="102" spans="1:15">
      <c r="A102" s="145"/>
      <c r="B102" s="145"/>
      <c r="C102" s="145"/>
      <c r="D102" s="145"/>
      <c r="E102" s="145"/>
      <c r="F102" s="145"/>
      <c r="G102" s="145"/>
      <c r="H102" s="145"/>
      <c r="O102" s="149"/>
    </row>
    <row r="103" spans="1:15">
      <c r="A103" s="145"/>
      <c r="B103" s="145"/>
      <c r="C103" s="145"/>
      <c r="D103" s="145"/>
      <c r="E103" s="145"/>
      <c r="F103" s="145"/>
      <c r="G103" s="145"/>
      <c r="H103" s="145"/>
      <c r="O103" s="149"/>
    </row>
    <row r="104" spans="1:15">
      <c r="A104" s="145"/>
      <c r="B104" s="145"/>
      <c r="C104" s="145"/>
      <c r="D104" s="145"/>
      <c r="E104" s="145"/>
      <c r="F104" s="145"/>
      <c r="G104" s="145"/>
      <c r="H104" s="145"/>
      <c r="O104" s="149"/>
    </row>
    <row r="105" spans="1:15">
      <c r="A105" s="145"/>
      <c r="B105" s="145"/>
      <c r="C105" s="145"/>
      <c r="D105" s="145"/>
      <c r="E105" s="145"/>
      <c r="F105" s="145"/>
      <c r="G105" s="145"/>
      <c r="H105" s="145"/>
      <c r="O105" s="149"/>
    </row>
    <row r="106" spans="1:15">
      <c r="A106" s="145"/>
      <c r="B106" s="145"/>
      <c r="C106" s="145"/>
      <c r="D106" s="145"/>
      <c r="E106" s="145"/>
      <c r="F106" s="145"/>
      <c r="G106" s="145"/>
      <c r="H106" s="145"/>
      <c r="O106" s="149"/>
    </row>
    <row r="107" spans="1:15">
      <c r="A107" s="145"/>
      <c r="B107" s="145"/>
      <c r="C107" s="145"/>
      <c r="D107" s="145"/>
      <c r="E107" s="145"/>
      <c r="F107" s="145"/>
      <c r="G107" s="145"/>
      <c r="H107" s="145"/>
      <c r="O107" s="149"/>
    </row>
    <row r="108" spans="1:15">
      <c r="A108" s="145"/>
      <c r="B108" s="145"/>
      <c r="C108" s="145"/>
      <c r="D108" s="145"/>
      <c r="E108" s="145"/>
      <c r="F108" s="145"/>
      <c r="G108" s="145"/>
      <c r="H108" s="145"/>
      <c r="O108" s="149"/>
    </row>
    <row r="109" spans="1:15">
      <c r="A109" s="145"/>
      <c r="B109" s="145"/>
      <c r="C109" s="145"/>
      <c r="D109" s="145"/>
      <c r="E109" s="145"/>
      <c r="F109" s="145"/>
      <c r="G109" s="145"/>
      <c r="H109" s="145"/>
      <c r="O109" s="149"/>
    </row>
    <row r="110" spans="1:15">
      <c r="A110" s="145"/>
      <c r="B110" s="145"/>
      <c r="C110" s="145"/>
      <c r="D110" s="145"/>
      <c r="E110" s="145"/>
      <c r="F110" s="145"/>
      <c r="G110" s="145"/>
      <c r="H110" s="145"/>
      <c r="O110" s="149"/>
    </row>
    <row r="111" spans="1:15">
      <c r="A111" s="145"/>
      <c r="B111" s="145"/>
      <c r="C111" s="145"/>
      <c r="D111" s="145"/>
      <c r="E111" s="145"/>
      <c r="F111" s="145"/>
      <c r="G111" s="145"/>
      <c r="H111" s="145"/>
      <c r="O111" s="149"/>
    </row>
    <row r="112" spans="1:15">
      <c r="A112" s="145"/>
      <c r="B112" s="145"/>
      <c r="C112" s="145"/>
      <c r="D112" s="145"/>
      <c r="E112" s="145"/>
      <c r="F112" s="145"/>
      <c r="G112" s="145"/>
      <c r="H112" s="145"/>
      <c r="O112" s="149"/>
    </row>
    <row r="113" spans="1:15">
      <c r="A113" s="145"/>
      <c r="B113" s="145"/>
      <c r="C113" s="145"/>
      <c r="D113" s="145"/>
      <c r="E113" s="145"/>
      <c r="F113" s="145"/>
      <c r="G113" s="145"/>
      <c r="H113" s="145"/>
      <c r="O113" s="149"/>
    </row>
    <row r="114" spans="1:15">
      <c r="A114" s="145"/>
      <c r="B114" s="145"/>
      <c r="C114" s="145"/>
      <c r="D114" s="145"/>
      <c r="E114" s="145"/>
      <c r="F114" s="145"/>
      <c r="G114" s="145"/>
      <c r="H114" s="145"/>
      <c r="O114" s="149"/>
    </row>
    <row r="115" spans="1:15">
      <c r="A115" s="145"/>
      <c r="B115" s="145"/>
      <c r="C115" s="145"/>
      <c r="D115" s="145"/>
      <c r="E115" s="145"/>
      <c r="F115" s="145"/>
      <c r="G115" s="145"/>
      <c r="H115" s="145"/>
      <c r="O115" s="149"/>
    </row>
    <row r="116" spans="1:15">
      <c r="A116" s="145"/>
      <c r="B116" s="145"/>
      <c r="C116" s="145"/>
      <c r="D116" s="145"/>
      <c r="E116" s="145"/>
      <c r="F116" s="145"/>
      <c r="G116" s="145"/>
      <c r="H116" s="145"/>
      <c r="O116" s="149"/>
    </row>
    <row r="117" spans="1:15">
      <c r="A117" s="145"/>
      <c r="B117" s="145"/>
      <c r="C117" s="145"/>
      <c r="D117" s="145"/>
      <c r="E117" s="145"/>
      <c r="F117" s="145"/>
      <c r="G117" s="145"/>
      <c r="H117" s="145"/>
      <c r="O117" s="149"/>
    </row>
    <row r="118" spans="1:15">
      <c r="A118" s="145"/>
      <c r="B118" s="145"/>
      <c r="C118" s="145"/>
      <c r="D118" s="145"/>
      <c r="E118" s="145"/>
      <c r="F118" s="145"/>
      <c r="G118" s="145"/>
      <c r="H118" s="145"/>
      <c r="O118" s="149"/>
    </row>
    <row r="119" spans="1:15">
      <c r="A119" s="145"/>
      <c r="B119" s="145"/>
      <c r="C119" s="145"/>
      <c r="D119" s="145"/>
      <c r="E119" s="145"/>
      <c r="F119" s="145"/>
      <c r="G119" s="145"/>
      <c r="H119" s="145"/>
      <c r="O119" s="149"/>
    </row>
    <row r="120" spans="1:15">
      <c r="A120" s="145"/>
      <c r="B120" s="145"/>
      <c r="C120" s="145"/>
      <c r="D120" s="145"/>
      <c r="E120" s="145"/>
      <c r="F120" s="145"/>
      <c r="G120" s="145"/>
      <c r="H120" s="145"/>
      <c r="O120" s="149"/>
    </row>
    <row r="121" spans="1:15">
      <c r="A121" s="145"/>
      <c r="B121" s="145"/>
      <c r="C121" s="145"/>
      <c r="D121" s="145"/>
      <c r="E121" s="145"/>
      <c r="F121" s="145"/>
      <c r="G121" s="145"/>
      <c r="H121" s="145"/>
      <c r="O121" s="149"/>
    </row>
    <row r="122" spans="1:15">
      <c r="A122" s="145"/>
      <c r="B122" s="145"/>
      <c r="C122" s="145"/>
      <c r="D122" s="145"/>
      <c r="E122" s="145"/>
      <c r="F122" s="145"/>
      <c r="G122" s="145"/>
      <c r="H122" s="145"/>
      <c r="O122" s="149"/>
    </row>
    <row r="123" spans="1:15">
      <c r="A123" s="145"/>
      <c r="B123" s="145"/>
      <c r="C123" s="145"/>
      <c r="D123" s="145"/>
      <c r="E123" s="145"/>
      <c r="F123" s="145"/>
      <c r="G123" s="145"/>
      <c r="H123" s="145"/>
      <c r="O123" s="149"/>
    </row>
    <row r="124" spans="1:15">
      <c r="A124" s="145"/>
      <c r="B124" s="145"/>
      <c r="C124" s="145"/>
      <c r="D124" s="145"/>
      <c r="E124" s="145"/>
      <c r="F124" s="145"/>
      <c r="G124" s="145"/>
      <c r="H124" s="145"/>
      <c r="O124" s="149"/>
    </row>
    <row r="125" spans="1:15">
      <c r="A125" s="145"/>
      <c r="B125" s="145"/>
      <c r="C125" s="145"/>
      <c r="D125" s="145"/>
      <c r="E125" s="145"/>
      <c r="F125" s="145"/>
      <c r="G125" s="145"/>
      <c r="H125" s="145"/>
      <c r="O125" s="149"/>
    </row>
    <row r="126" spans="1:15">
      <c r="A126" s="145"/>
      <c r="B126" s="145"/>
      <c r="C126" s="145"/>
      <c r="D126" s="145"/>
      <c r="E126" s="145"/>
      <c r="F126" s="145"/>
      <c r="G126" s="145"/>
      <c r="H126" s="145"/>
      <c r="O126" s="149"/>
    </row>
    <row r="127" spans="1:15">
      <c r="A127" s="145"/>
      <c r="B127" s="145"/>
      <c r="C127" s="145"/>
      <c r="D127" s="145"/>
      <c r="E127" s="145"/>
      <c r="F127" s="145"/>
      <c r="G127" s="145"/>
      <c r="H127" s="145"/>
      <c r="O127" s="149"/>
    </row>
    <row r="128" spans="1:15">
      <c r="A128" s="145"/>
      <c r="B128" s="145"/>
      <c r="C128" s="145"/>
      <c r="D128" s="145"/>
      <c r="E128" s="145"/>
      <c r="F128" s="145"/>
      <c r="G128" s="145"/>
      <c r="H128" s="145"/>
      <c r="O128" s="149"/>
    </row>
    <row r="129" spans="1:15">
      <c r="A129" s="145"/>
      <c r="B129" s="145"/>
      <c r="C129" s="145"/>
      <c r="D129" s="145"/>
      <c r="E129" s="145"/>
      <c r="F129" s="145"/>
      <c r="G129" s="145"/>
      <c r="H129" s="145"/>
      <c r="O129" s="149"/>
    </row>
    <row r="130" spans="1:15">
      <c r="A130" s="145"/>
      <c r="B130" s="145"/>
      <c r="C130" s="145"/>
      <c r="D130" s="145"/>
      <c r="E130" s="145"/>
      <c r="F130" s="145"/>
      <c r="G130" s="145"/>
      <c r="H130" s="145"/>
      <c r="O130" s="149"/>
    </row>
    <row r="131" spans="1:15">
      <c r="A131" s="145"/>
      <c r="B131" s="145"/>
      <c r="C131" s="145"/>
      <c r="D131" s="145"/>
      <c r="E131" s="145"/>
      <c r="F131" s="145"/>
      <c r="G131" s="145"/>
      <c r="H131" s="145"/>
      <c r="O131" s="149"/>
    </row>
    <row r="132" spans="1:15">
      <c r="A132" s="145"/>
      <c r="B132" s="145"/>
      <c r="C132" s="145"/>
      <c r="D132" s="145"/>
      <c r="E132" s="145"/>
      <c r="F132" s="145"/>
      <c r="G132" s="145"/>
      <c r="H132" s="145"/>
      <c r="O132" s="149"/>
    </row>
    <row r="133" spans="1:15">
      <c r="A133" s="145"/>
      <c r="B133" s="145"/>
      <c r="C133" s="145"/>
      <c r="D133" s="145"/>
      <c r="E133" s="145"/>
      <c r="F133" s="145"/>
      <c r="G133" s="145"/>
      <c r="H133" s="145"/>
      <c r="O133" s="149"/>
    </row>
    <row r="134" spans="1:15">
      <c r="A134" s="145"/>
      <c r="B134" s="145"/>
      <c r="C134" s="145"/>
      <c r="D134" s="145"/>
      <c r="E134" s="145"/>
      <c r="F134" s="145"/>
      <c r="G134" s="145"/>
      <c r="H134" s="145"/>
      <c r="O134" s="149"/>
    </row>
    <row r="135" spans="1:15">
      <c r="A135" s="145"/>
      <c r="B135" s="145"/>
      <c r="C135" s="145"/>
      <c r="D135" s="145"/>
      <c r="E135" s="145"/>
      <c r="F135" s="145"/>
      <c r="G135" s="145"/>
      <c r="H135" s="145"/>
      <c r="O135" s="149"/>
    </row>
    <row r="136" spans="1:15">
      <c r="A136" s="145"/>
      <c r="B136" s="145"/>
      <c r="C136" s="145"/>
      <c r="D136" s="145"/>
      <c r="E136" s="145"/>
      <c r="F136" s="145"/>
      <c r="G136" s="145"/>
      <c r="H136" s="145"/>
      <c r="O136" s="149"/>
    </row>
    <row r="137" spans="1:15">
      <c r="A137" s="145"/>
      <c r="B137" s="145"/>
      <c r="C137" s="145"/>
      <c r="D137" s="145"/>
      <c r="E137" s="145"/>
      <c r="F137" s="145"/>
      <c r="G137" s="145"/>
      <c r="H137" s="145"/>
      <c r="O137" s="149"/>
    </row>
    <row r="138" spans="1:15">
      <c r="A138" s="145"/>
      <c r="B138" s="145"/>
      <c r="C138" s="145"/>
      <c r="D138" s="145"/>
      <c r="E138" s="145"/>
      <c r="F138" s="145"/>
      <c r="G138" s="145"/>
      <c r="H138" s="145"/>
      <c r="O138" s="149"/>
    </row>
    <row r="139" spans="1:15">
      <c r="A139" s="145"/>
      <c r="B139" s="145"/>
      <c r="C139" s="145"/>
      <c r="D139" s="145"/>
      <c r="E139" s="145"/>
      <c r="F139" s="145"/>
      <c r="G139" s="145"/>
      <c r="H139" s="145"/>
      <c r="O139" s="149"/>
    </row>
    <row r="140" spans="1:15">
      <c r="A140" s="145"/>
      <c r="B140" s="145"/>
      <c r="C140" s="145"/>
      <c r="D140" s="145"/>
      <c r="E140" s="145"/>
      <c r="F140" s="145"/>
      <c r="G140" s="145"/>
      <c r="H140" s="145"/>
      <c r="O140" s="149"/>
    </row>
    <row r="141" spans="1:15">
      <c r="A141" s="145"/>
      <c r="B141" s="145"/>
      <c r="C141" s="145"/>
      <c r="D141" s="145"/>
      <c r="E141" s="145"/>
      <c r="F141" s="145"/>
      <c r="G141" s="145"/>
      <c r="H141" s="145"/>
      <c r="O141" s="149"/>
    </row>
    <row r="142" spans="1:15">
      <c r="A142" s="145"/>
      <c r="B142" s="145"/>
      <c r="C142" s="145"/>
      <c r="D142" s="145"/>
      <c r="E142" s="145"/>
      <c r="F142" s="145"/>
      <c r="G142" s="145"/>
      <c r="H142" s="145"/>
      <c r="O142" s="149"/>
    </row>
    <row r="143" spans="1:15">
      <c r="A143" s="145"/>
      <c r="B143" s="145"/>
      <c r="C143" s="145"/>
      <c r="D143" s="145"/>
      <c r="E143" s="145"/>
      <c r="F143" s="145"/>
      <c r="G143" s="145"/>
      <c r="H143" s="145"/>
      <c r="O143" s="149"/>
    </row>
    <row r="144" spans="1:15">
      <c r="A144" s="145"/>
      <c r="B144" s="145"/>
      <c r="C144" s="145"/>
      <c r="D144" s="145"/>
      <c r="E144" s="145"/>
      <c r="F144" s="145"/>
      <c r="G144" s="145"/>
      <c r="H144" s="145"/>
      <c r="O144" s="149"/>
    </row>
    <row r="145" spans="1:15">
      <c r="A145" s="145"/>
      <c r="B145" s="145"/>
      <c r="C145" s="145"/>
      <c r="D145" s="145"/>
      <c r="E145" s="145"/>
      <c r="F145" s="145"/>
      <c r="G145" s="145"/>
      <c r="H145" s="145"/>
      <c r="O145" s="149"/>
    </row>
    <row r="146" spans="1:15">
      <c r="A146" s="145"/>
      <c r="B146" s="145"/>
      <c r="C146" s="145"/>
      <c r="D146" s="145"/>
      <c r="E146" s="145"/>
      <c r="F146" s="145"/>
      <c r="G146" s="145"/>
      <c r="H146" s="145"/>
      <c r="O146" s="149"/>
    </row>
    <row r="147" spans="1:15">
      <c r="A147" s="145"/>
      <c r="B147" s="145"/>
      <c r="C147" s="145"/>
      <c r="D147" s="145"/>
      <c r="E147" s="145"/>
      <c r="F147" s="145"/>
      <c r="G147" s="145"/>
      <c r="H147" s="145"/>
      <c r="O147" s="149"/>
    </row>
    <row r="148" spans="1:15">
      <c r="A148" s="145"/>
      <c r="B148" s="145"/>
      <c r="C148" s="145"/>
      <c r="D148" s="145"/>
      <c r="E148" s="145"/>
      <c r="F148" s="145"/>
      <c r="G148" s="145"/>
      <c r="H148" s="145"/>
      <c r="O148" s="149"/>
    </row>
    <row r="149" spans="1:15">
      <c r="A149" s="145"/>
      <c r="B149" s="145"/>
      <c r="C149" s="145"/>
      <c r="D149" s="145"/>
      <c r="E149" s="145"/>
      <c r="F149" s="145"/>
      <c r="G149" s="145"/>
      <c r="H149" s="145"/>
      <c r="O149" s="149"/>
    </row>
    <row r="150" spans="1:15">
      <c r="A150" s="145"/>
      <c r="B150" s="145"/>
      <c r="C150" s="145"/>
      <c r="D150" s="145"/>
      <c r="E150" s="145"/>
      <c r="F150" s="145"/>
      <c r="G150" s="145"/>
      <c r="H150" s="145"/>
      <c r="O150" s="149"/>
    </row>
    <row r="151" spans="1:15">
      <c r="A151" s="145"/>
      <c r="B151" s="145"/>
      <c r="C151" s="145"/>
      <c r="D151" s="145"/>
      <c r="E151" s="145"/>
      <c r="F151" s="145"/>
      <c r="G151" s="145"/>
      <c r="H151" s="145"/>
      <c r="O151" s="149"/>
    </row>
    <row r="152" spans="1:15">
      <c r="A152" s="145"/>
      <c r="B152" s="145"/>
      <c r="C152" s="145"/>
      <c r="D152" s="145"/>
      <c r="E152" s="145"/>
      <c r="F152" s="145"/>
      <c r="G152" s="145"/>
      <c r="H152" s="145"/>
      <c r="O152" s="149"/>
    </row>
    <row r="153" spans="1:15">
      <c r="A153" s="145"/>
      <c r="B153" s="145"/>
      <c r="C153" s="145"/>
      <c r="D153" s="145"/>
      <c r="E153" s="145"/>
      <c r="F153" s="145"/>
      <c r="G153" s="145"/>
      <c r="H153" s="145"/>
      <c r="O153" s="149"/>
    </row>
    <row r="154" spans="1:15">
      <c r="A154" s="145"/>
      <c r="B154" s="145"/>
      <c r="C154" s="145"/>
      <c r="D154" s="145"/>
      <c r="E154" s="145"/>
      <c r="F154" s="145"/>
      <c r="G154" s="145"/>
      <c r="H154" s="145"/>
      <c r="O154" s="149"/>
    </row>
    <row r="155" spans="1:15">
      <c r="A155" s="145"/>
      <c r="B155" s="145"/>
      <c r="C155" s="145"/>
      <c r="D155" s="145"/>
      <c r="E155" s="145"/>
      <c r="F155" s="145"/>
      <c r="G155" s="145"/>
      <c r="H155" s="145"/>
      <c r="O155" s="149"/>
    </row>
    <row r="156" spans="1:15">
      <c r="A156" s="145"/>
      <c r="B156" s="145"/>
      <c r="C156" s="145"/>
      <c r="D156" s="145"/>
      <c r="E156" s="145"/>
      <c r="F156" s="145"/>
      <c r="G156" s="145"/>
      <c r="H156" s="145"/>
      <c r="O156" s="149"/>
    </row>
    <row r="157" spans="1:15">
      <c r="A157" s="145"/>
      <c r="B157" s="145"/>
      <c r="C157" s="145"/>
      <c r="D157" s="145"/>
      <c r="E157" s="145"/>
      <c r="F157" s="145"/>
      <c r="G157" s="145"/>
      <c r="H157" s="145"/>
      <c r="O157" s="149"/>
    </row>
    <row r="158" spans="1:15">
      <c r="A158" s="145"/>
      <c r="B158" s="145"/>
      <c r="C158" s="145"/>
      <c r="D158" s="145"/>
      <c r="E158" s="145"/>
      <c r="F158" s="145"/>
      <c r="G158" s="145"/>
      <c r="H158" s="145"/>
      <c r="O158" s="149"/>
    </row>
    <row r="159" spans="1:15">
      <c r="A159" s="145"/>
      <c r="B159" s="145"/>
      <c r="C159" s="145"/>
      <c r="D159" s="145"/>
      <c r="E159" s="145"/>
      <c r="F159" s="145"/>
      <c r="G159" s="145"/>
      <c r="H159" s="145"/>
      <c r="O159" s="149"/>
    </row>
    <row r="160" spans="1:15">
      <c r="A160" s="145"/>
      <c r="B160" s="145"/>
      <c r="C160" s="145"/>
      <c r="D160" s="145"/>
      <c r="E160" s="145"/>
      <c r="F160" s="145"/>
      <c r="G160" s="145"/>
      <c r="H160" s="145"/>
      <c r="O160" s="149"/>
    </row>
    <row r="161" spans="1:15">
      <c r="A161" s="145"/>
      <c r="B161" s="145"/>
      <c r="C161" s="145"/>
      <c r="D161" s="145"/>
      <c r="E161" s="145"/>
      <c r="F161" s="145"/>
      <c r="G161" s="145"/>
      <c r="H161" s="145"/>
      <c r="O161" s="149"/>
    </row>
    <row r="162" spans="1:15">
      <c r="A162" s="145"/>
      <c r="B162" s="145"/>
      <c r="C162" s="145"/>
      <c r="D162" s="145"/>
      <c r="E162" s="145"/>
      <c r="F162" s="145"/>
      <c r="G162" s="145"/>
      <c r="H162" s="145"/>
      <c r="O162" s="149"/>
    </row>
    <row r="163" spans="1:15">
      <c r="A163" s="145"/>
      <c r="B163" s="145"/>
      <c r="C163" s="145"/>
      <c r="D163" s="145"/>
      <c r="E163" s="145"/>
      <c r="F163" s="145"/>
      <c r="G163" s="145"/>
      <c r="H163" s="145"/>
      <c r="O163" s="149"/>
    </row>
    <row r="164" spans="1:15">
      <c r="A164" s="145"/>
      <c r="B164" s="145"/>
      <c r="C164" s="145"/>
      <c r="D164" s="145"/>
      <c r="E164" s="145"/>
      <c r="F164" s="145"/>
      <c r="G164" s="145"/>
      <c r="H164" s="145"/>
      <c r="O164" s="149"/>
    </row>
    <row r="165" spans="1:15">
      <c r="A165" s="145"/>
      <c r="B165" s="145"/>
      <c r="C165" s="145"/>
      <c r="D165" s="145"/>
      <c r="E165" s="145"/>
      <c r="F165" s="145"/>
      <c r="G165" s="145"/>
      <c r="H165" s="145"/>
      <c r="O165" s="149"/>
    </row>
    <row r="166" spans="1:15">
      <c r="A166" s="145"/>
      <c r="B166" s="145"/>
      <c r="C166" s="145"/>
      <c r="D166" s="145"/>
      <c r="E166" s="145"/>
      <c r="F166" s="145"/>
      <c r="G166" s="145"/>
      <c r="H166" s="145"/>
      <c r="O166" s="149"/>
    </row>
    <row r="167" spans="1:15">
      <c r="A167" s="145"/>
      <c r="B167" s="145"/>
      <c r="C167" s="145"/>
      <c r="D167" s="145"/>
      <c r="E167" s="145"/>
      <c r="F167" s="145"/>
      <c r="G167" s="145"/>
      <c r="H167" s="145"/>
      <c r="O167" s="149"/>
    </row>
    <row r="168" spans="1:15">
      <c r="A168" s="145"/>
      <c r="B168" s="145"/>
      <c r="C168" s="145"/>
      <c r="D168" s="145"/>
      <c r="E168" s="145"/>
      <c r="F168" s="145"/>
      <c r="G168" s="145"/>
      <c r="H168" s="145"/>
      <c r="O168" s="149"/>
    </row>
    <row r="169" spans="1:15">
      <c r="A169" s="145"/>
      <c r="B169" s="145"/>
      <c r="C169" s="145"/>
      <c r="D169" s="145"/>
      <c r="E169" s="145"/>
      <c r="F169" s="145"/>
      <c r="G169" s="145"/>
      <c r="H169" s="145"/>
      <c r="O169" s="149"/>
    </row>
    <row r="170" spans="1:15">
      <c r="A170" s="145"/>
      <c r="B170" s="145"/>
      <c r="C170" s="145"/>
      <c r="D170" s="145"/>
      <c r="E170" s="145"/>
      <c r="F170" s="145"/>
      <c r="G170" s="145"/>
      <c r="H170" s="145"/>
      <c r="O170" s="149"/>
    </row>
    <row r="171" spans="1:15">
      <c r="A171" s="145"/>
      <c r="B171" s="145"/>
      <c r="C171" s="145"/>
      <c r="D171" s="145"/>
      <c r="E171" s="145"/>
      <c r="F171" s="145"/>
      <c r="G171" s="145"/>
      <c r="H171" s="145"/>
      <c r="O171" s="149"/>
    </row>
    <row r="172" spans="1:15">
      <c r="A172" s="145"/>
      <c r="B172" s="145"/>
      <c r="C172" s="145"/>
      <c r="D172" s="145"/>
      <c r="E172" s="145"/>
      <c r="F172" s="145"/>
      <c r="G172" s="145"/>
      <c r="H172" s="145"/>
      <c r="O172" s="149"/>
    </row>
    <row r="173" spans="1:15">
      <c r="A173" s="145"/>
      <c r="B173" s="145"/>
      <c r="C173" s="145"/>
      <c r="D173" s="145"/>
      <c r="E173" s="145"/>
      <c r="F173" s="145"/>
      <c r="G173" s="145"/>
      <c r="H173" s="145"/>
      <c r="O173" s="149"/>
    </row>
    <row r="174" spans="1:15">
      <c r="A174" s="145"/>
      <c r="B174" s="145"/>
      <c r="C174" s="145"/>
      <c r="D174" s="145"/>
      <c r="E174" s="145"/>
      <c r="F174" s="145"/>
      <c r="G174" s="145"/>
      <c r="H174" s="145"/>
      <c r="O174" s="149"/>
    </row>
    <row r="175" spans="1:15">
      <c r="A175" s="145"/>
      <c r="B175" s="145"/>
      <c r="C175" s="145"/>
      <c r="D175" s="145"/>
      <c r="E175" s="145"/>
      <c r="F175" s="145"/>
      <c r="G175" s="145"/>
      <c r="H175" s="145"/>
      <c r="O175" s="149"/>
    </row>
    <row r="176" spans="1:15">
      <c r="A176" s="145"/>
      <c r="B176" s="145"/>
      <c r="C176" s="145"/>
      <c r="D176" s="145"/>
      <c r="E176" s="145"/>
      <c r="F176" s="145"/>
      <c r="G176" s="145"/>
      <c r="H176" s="145"/>
      <c r="O176" s="149"/>
    </row>
    <row r="177" spans="1:15">
      <c r="A177" s="145"/>
      <c r="B177" s="145"/>
      <c r="C177" s="145"/>
      <c r="D177" s="145"/>
      <c r="E177" s="145"/>
      <c r="F177" s="145"/>
      <c r="G177" s="145"/>
      <c r="H177" s="145"/>
      <c r="O177" s="149"/>
    </row>
    <row r="178" spans="1:15">
      <c r="A178" s="145"/>
      <c r="B178" s="145"/>
      <c r="C178" s="145"/>
      <c r="D178" s="145"/>
      <c r="E178" s="145"/>
      <c r="F178" s="145"/>
      <c r="G178" s="145"/>
      <c r="H178" s="145"/>
      <c r="O178" s="149"/>
    </row>
    <row r="179" spans="1:15">
      <c r="A179" s="145"/>
      <c r="B179" s="145"/>
      <c r="C179" s="145"/>
      <c r="D179" s="145"/>
      <c r="E179" s="145"/>
      <c r="F179" s="145"/>
      <c r="G179" s="145"/>
      <c r="H179" s="145"/>
      <c r="O179" s="149"/>
    </row>
    <row r="180" spans="1:15">
      <c r="A180" s="145"/>
      <c r="B180" s="145"/>
      <c r="C180" s="145"/>
      <c r="D180" s="145"/>
      <c r="E180" s="145"/>
      <c r="F180" s="145"/>
      <c r="G180" s="145"/>
      <c r="H180" s="145"/>
      <c r="O180" s="149"/>
    </row>
    <row r="181" spans="1:15">
      <c r="A181" s="145"/>
      <c r="B181" s="145"/>
      <c r="C181" s="145"/>
      <c r="D181" s="145"/>
      <c r="E181" s="145"/>
      <c r="F181" s="145"/>
      <c r="G181" s="145"/>
      <c r="H181" s="145"/>
      <c r="O181" s="149"/>
    </row>
    <row r="182" spans="1:15">
      <c r="A182" s="145"/>
      <c r="B182" s="145"/>
      <c r="C182" s="145"/>
      <c r="D182" s="145"/>
      <c r="E182" s="145"/>
      <c r="F182" s="145"/>
      <c r="G182" s="145"/>
      <c r="H182" s="145"/>
      <c r="O182" s="149"/>
    </row>
    <row r="183" spans="1:15">
      <c r="A183" s="145"/>
      <c r="B183" s="145"/>
      <c r="C183" s="145"/>
      <c r="D183" s="145"/>
      <c r="E183" s="145"/>
      <c r="F183" s="145"/>
      <c r="G183" s="145"/>
      <c r="H183" s="145"/>
      <c r="O183" s="149"/>
    </row>
    <row r="184" spans="1:15">
      <c r="A184" s="145"/>
      <c r="B184" s="145"/>
      <c r="C184" s="145"/>
      <c r="D184" s="145"/>
      <c r="E184" s="145"/>
      <c r="F184" s="145"/>
      <c r="G184" s="145"/>
      <c r="H184" s="145"/>
      <c r="O184" s="149"/>
    </row>
    <row r="185" spans="1:15">
      <c r="A185" s="145"/>
      <c r="B185" s="145"/>
      <c r="C185" s="145"/>
      <c r="D185" s="145"/>
      <c r="E185" s="145"/>
      <c r="F185" s="145"/>
      <c r="G185" s="145"/>
      <c r="H185" s="145"/>
      <c r="O185" s="149"/>
    </row>
    <row r="186" spans="1:15">
      <c r="A186" s="145"/>
      <c r="B186" s="145"/>
      <c r="C186" s="145"/>
      <c r="D186" s="145"/>
      <c r="E186" s="145"/>
      <c r="F186" s="145"/>
      <c r="G186" s="145"/>
      <c r="H186" s="145"/>
      <c r="O186" s="149"/>
    </row>
    <row r="187" spans="1:15">
      <c r="A187" s="145"/>
      <c r="B187" s="145"/>
      <c r="C187" s="145"/>
      <c r="D187" s="145"/>
      <c r="E187" s="145"/>
      <c r="F187" s="145"/>
      <c r="G187" s="145"/>
      <c r="H187" s="145"/>
      <c r="O187" s="149"/>
    </row>
    <row r="188" spans="1:15">
      <c r="A188" s="145"/>
      <c r="B188" s="145"/>
      <c r="C188" s="145"/>
      <c r="D188" s="145"/>
      <c r="E188" s="145"/>
      <c r="F188" s="145"/>
      <c r="G188" s="145"/>
      <c r="H188" s="145"/>
      <c r="O188" s="149"/>
    </row>
    <row r="189" spans="1:15">
      <c r="A189" s="145"/>
      <c r="B189" s="145"/>
      <c r="C189" s="145"/>
      <c r="D189" s="145"/>
      <c r="E189" s="145"/>
      <c r="F189" s="145"/>
      <c r="G189" s="145"/>
      <c r="H189" s="145"/>
      <c r="O189" s="149"/>
    </row>
    <row r="190" spans="1:15">
      <c r="A190" s="145"/>
      <c r="B190" s="145"/>
      <c r="C190" s="145"/>
      <c r="D190" s="145"/>
      <c r="E190" s="145"/>
      <c r="F190" s="145"/>
      <c r="G190" s="145"/>
      <c r="H190" s="145"/>
      <c r="O190" s="149"/>
    </row>
    <row r="191" spans="1:15">
      <c r="A191" s="145"/>
      <c r="B191" s="145"/>
      <c r="C191" s="145"/>
      <c r="D191" s="145"/>
      <c r="E191" s="145"/>
      <c r="F191" s="145"/>
      <c r="G191" s="145"/>
      <c r="H191" s="145"/>
      <c r="O191" s="149"/>
    </row>
    <row r="192" spans="1:15">
      <c r="A192" s="145"/>
      <c r="B192" s="145"/>
      <c r="C192" s="145"/>
      <c r="D192" s="145"/>
      <c r="E192" s="145"/>
      <c r="F192" s="145"/>
      <c r="G192" s="145"/>
      <c r="H192" s="145"/>
      <c r="O192" s="149"/>
    </row>
    <row r="193" spans="1:15">
      <c r="A193" s="145"/>
      <c r="B193" s="145"/>
      <c r="C193" s="145"/>
      <c r="D193" s="145"/>
      <c r="E193" s="145"/>
      <c r="F193" s="145"/>
      <c r="G193" s="145"/>
      <c r="H193" s="145"/>
      <c r="O193" s="149"/>
    </row>
    <row r="194" spans="1:15">
      <c r="A194" s="145"/>
      <c r="B194" s="145"/>
      <c r="C194" s="145"/>
      <c r="D194" s="145"/>
      <c r="E194" s="145"/>
      <c r="F194" s="145"/>
      <c r="G194" s="145"/>
      <c r="H194" s="145"/>
      <c r="O194" s="149"/>
    </row>
    <row r="195" spans="1:15">
      <c r="A195" s="145"/>
      <c r="B195" s="145"/>
      <c r="C195" s="145"/>
      <c r="D195" s="145"/>
      <c r="E195" s="145"/>
      <c r="F195" s="145"/>
      <c r="G195" s="145"/>
      <c r="H195" s="145"/>
      <c r="O195" s="149"/>
    </row>
    <row r="196" spans="1:15">
      <c r="A196" s="145"/>
      <c r="B196" s="145"/>
      <c r="C196" s="145"/>
      <c r="D196" s="145"/>
      <c r="E196" s="145"/>
      <c r="F196" s="145"/>
      <c r="G196" s="145"/>
      <c r="H196" s="145"/>
      <c r="O196" s="149"/>
    </row>
    <row r="197" spans="1:15">
      <c r="A197" s="145"/>
      <c r="B197" s="145"/>
      <c r="C197" s="145"/>
      <c r="D197" s="145"/>
      <c r="E197" s="145"/>
      <c r="F197" s="145"/>
      <c r="G197" s="145"/>
      <c r="H197" s="145"/>
      <c r="O197" s="149"/>
    </row>
    <row r="198" spans="1:15">
      <c r="A198" s="145"/>
      <c r="B198" s="145"/>
      <c r="C198" s="145"/>
      <c r="D198" s="145"/>
      <c r="E198" s="145"/>
      <c r="F198" s="145"/>
      <c r="G198" s="145"/>
      <c r="H198" s="145"/>
      <c r="O198" s="149"/>
    </row>
    <row r="199" spans="1:15">
      <c r="A199" s="145"/>
      <c r="B199" s="145"/>
      <c r="C199" s="145"/>
      <c r="D199" s="145"/>
      <c r="E199" s="145"/>
      <c r="F199" s="145"/>
      <c r="G199" s="145"/>
      <c r="H199" s="145"/>
      <c r="O199" s="149"/>
    </row>
    <row r="200" spans="1:15">
      <c r="A200" s="145"/>
      <c r="B200" s="145"/>
      <c r="C200" s="145"/>
      <c r="D200" s="145"/>
      <c r="E200" s="145"/>
      <c r="F200" s="145"/>
      <c r="G200" s="145"/>
      <c r="H200" s="145"/>
      <c r="O200" s="149"/>
    </row>
    <row r="201" spans="1:15">
      <c r="A201" s="145"/>
      <c r="B201" s="145"/>
      <c r="C201" s="145"/>
      <c r="D201" s="145"/>
      <c r="E201" s="145"/>
      <c r="F201" s="145"/>
      <c r="G201" s="145"/>
      <c r="H201" s="145"/>
      <c r="O201" s="149"/>
    </row>
    <row r="202" spans="1:15">
      <c r="A202" s="145"/>
      <c r="B202" s="145"/>
      <c r="C202" s="145"/>
      <c r="D202" s="145"/>
      <c r="E202" s="145"/>
      <c r="F202" s="145"/>
      <c r="G202" s="145"/>
      <c r="H202" s="145"/>
      <c r="O202" s="149"/>
    </row>
    <row r="203" spans="1:15">
      <c r="A203" s="145"/>
      <c r="B203" s="145"/>
      <c r="C203" s="145"/>
      <c r="D203" s="145"/>
      <c r="E203" s="145"/>
      <c r="F203" s="145"/>
      <c r="G203" s="145"/>
      <c r="H203" s="145"/>
      <c r="O203" s="149"/>
    </row>
    <row r="204" spans="1:15">
      <c r="A204" s="145"/>
      <c r="B204" s="145"/>
      <c r="C204" s="145"/>
      <c r="D204" s="145"/>
      <c r="E204" s="145"/>
      <c r="F204" s="145"/>
      <c r="G204" s="145"/>
      <c r="H204" s="145"/>
      <c r="O204" s="149"/>
    </row>
    <row r="205" spans="1:15">
      <c r="A205" s="145"/>
      <c r="B205" s="145"/>
      <c r="C205" s="145"/>
      <c r="D205" s="145"/>
      <c r="E205" s="145"/>
      <c r="F205" s="145"/>
      <c r="G205" s="145"/>
      <c r="H205" s="145"/>
      <c r="O205" s="149"/>
    </row>
    <row r="206" spans="1:15">
      <c r="A206" s="145"/>
      <c r="B206" s="145"/>
      <c r="C206" s="145"/>
      <c r="D206" s="145"/>
      <c r="E206" s="145"/>
      <c r="F206" s="145"/>
      <c r="G206" s="145"/>
      <c r="H206" s="145"/>
      <c r="O206" s="149"/>
    </row>
    <row r="207" spans="1:15">
      <c r="A207" s="145"/>
      <c r="B207" s="145"/>
      <c r="C207" s="145"/>
      <c r="D207" s="145"/>
      <c r="E207" s="145"/>
      <c r="F207" s="145"/>
      <c r="G207" s="145"/>
      <c r="H207" s="145"/>
      <c r="O207" s="149"/>
    </row>
    <row r="208" spans="1:15">
      <c r="A208" s="145"/>
      <c r="B208" s="145"/>
      <c r="C208" s="145"/>
      <c r="D208" s="145"/>
      <c r="E208" s="145"/>
      <c r="F208" s="145"/>
      <c r="G208" s="145"/>
      <c r="H208" s="145"/>
      <c r="O208" s="149"/>
    </row>
    <row r="209" spans="1:15">
      <c r="A209" s="145"/>
      <c r="B209" s="145"/>
      <c r="C209" s="145"/>
      <c r="D209" s="145"/>
      <c r="E209" s="145"/>
      <c r="F209" s="145"/>
      <c r="G209" s="145"/>
      <c r="H209" s="145"/>
      <c r="O209" s="149"/>
    </row>
    <row r="210" spans="1:15">
      <c r="A210" s="145"/>
      <c r="B210" s="145"/>
      <c r="C210" s="145"/>
      <c r="D210" s="145"/>
      <c r="E210" s="145"/>
      <c r="F210" s="145"/>
      <c r="G210" s="145"/>
      <c r="H210" s="145"/>
      <c r="O210" s="149"/>
    </row>
    <row r="211" spans="1:15">
      <c r="A211" s="145"/>
      <c r="B211" s="145"/>
      <c r="C211" s="145"/>
      <c r="D211" s="145"/>
      <c r="E211" s="145"/>
      <c r="F211" s="145"/>
      <c r="G211" s="145"/>
      <c r="H211" s="145"/>
      <c r="O211" s="149"/>
    </row>
    <row r="212" spans="1:15">
      <c r="A212" s="145"/>
      <c r="B212" s="145"/>
      <c r="C212" s="145"/>
      <c r="D212" s="145"/>
      <c r="E212" s="145"/>
      <c r="F212" s="145"/>
      <c r="G212" s="145"/>
      <c r="H212" s="145"/>
      <c r="O212" s="149"/>
    </row>
    <row r="213" spans="1:15">
      <c r="A213" s="145"/>
      <c r="B213" s="145"/>
      <c r="C213" s="145"/>
      <c r="D213" s="145"/>
      <c r="E213" s="145"/>
      <c r="F213" s="145"/>
      <c r="G213" s="145"/>
      <c r="H213" s="145"/>
      <c r="O213" s="149"/>
    </row>
    <row r="214" spans="1:15">
      <c r="A214" s="145"/>
      <c r="B214" s="145"/>
      <c r="C214" s="145"/>
      <c r="D214" s="145"/>
      <c r="E214" s="145"/>
      <c r="F214" s="145"/>
      <c r="G214" s="145"/>
      <c r="H214" s="145"/>
      <c r="O214" s="149"/>
    </row>
    <row r="215" spans="1:15">
      <c r="A215" s="145"/>
      <c r="B215" s="145"/>
      <c r="C215" s="145"/>
      <c r="D215" s="145"/>
      <c r="E215" s="145"/>
      <c r="F215" s="145"/>
      <c r="G215" s="145"/>
      <c r="H215" s="145"/>
      <c r="O215" s="149"/>
    </row>
    <row r="216" spans="1:15">
      <c r="A216" s="145"/>
      <c r="B216" s="145"/>
      <c r="C216" s="145"/>
      <c r="D216" s="145"/>
      <c r="E216" s="145"/>
      <c r="F216" s="145"/>
      <c r="G216" s="145"/>
      <c r="H216" s="145"/>
      <c r="O216" s="149"/>
    </row>
    <row r="217" spans="1:15">
      <c r="A217" s="145"/>
      <c r="B217" s="145"/>
      <c r="C217" s="145"/>
      <c r="D217" s="145"/>
      <c r="E217" s="145"/>
      <c r="F217" s="145"/>
      <c r="G217" s="145"/>
      <c r="H217" s="145"/>
      <c r="O217" s="149"/>
    </row>
    <row r="218" spans="1:15">
      <c r="A218" s="145"/>
      <c r="B218" s="145"/>
      <c r="C218" s="145"/>
      <c r="D218" s="145"/>
      <c r="E218" s="145"/>
      <c r="F218" s="145"/>
      <c r="G218" s="145"/>
      <c r="H218" s="145"/>
      <c r="O218" s="149"/>
    </row>
    <row r="219" spans="1:15">
      <c r="A219" s="145"/>
      <c r="B219" s="145"/>
      <c r="C219" s="145"/>
      <c r="D219" s="145"/>
      <c r="E219" s="145"/>
      <c r="F219" s="145"/>
      <c r="G219" s="145"/>
      <c r="H219" s="145"/>
      <c r="O219" s="149"/>
    </row>
    <row r="220" spans="1:15">
      <c r="A220" s="145"/>
      <c r="B220" s="145"/>
      <c r="C220" s="145"/>
      <c r="D220" s="145"/>
      <c r="E220" s="145"/>
      <c r="F220" s="145"/>
      <c r="G220" s="145"/>
      <c r="H220" s="145"/>
      <c r="O220" s="149"/>
    </row>
    <row r="221" spans="1:15">
      <c r="A221" s="145"/>
      <c r="B221" s="145"/>
      <c r="C221" s="145"/>
      <c r="D221" s="145"/>
      <c r="E221" s="145"/>
      <c r="F221" s="145"/>
      <c r="G221" s="145"/>
      <c r="H221" s="145"/>
      <c r="O221" s="149"/>
    </row>
    <row r="222" spans="1:15">
      <c r="A222" s="145"/>
      <c r="B222" s="145"/>
      <c r="C222" s="145"/>
      <c r="D222" s="145"/>
      <c r="E222" s="145"/>
      <c r="F222" s="145"/>
      <c r="G222" s="145"/>
      <c r="H222" s="145"/>
      <c r="O222" s="149"/>
    </row>
    <row r="223" spans="1:15">
      <c r="A223" s="145"/>
      <c r="B223" s="145"/>
      <c r="C223" s="145"/>
      <c r="D223" s="145"/>
      <c r="E223" s="145"/>
      <c r="F223" s="145"/>
      <c r="G223" s="145"/>
      <c r="H223" s="145"/>
      <c r="O223" s="149"/>
    </row>
    <row r="224" spans="1:15">
      <c r="A224" s="145"/>
      <c r="B224" s="145"/>
      <c r="C224" s="145"/>
      <c r="D224" s="145"/>
      <c r="E224" s="145"/>
      <c r="F224" s="145"/>
      <c r="G224" s="145"/>
      <c r="H224" s="145"/>
      <c r="O224" s="149"/>
    </row>
    <row r="225" spans="1:15">
      <c r="A225" s="145"/>
      <c r="B225" s="145"/>
      <c r="C225" s="145"/>
      <c r="D225" s="145"/>
      <c r="E225" s="145"/>
      <c r="F225" s="145"/>
      <c r="G225" s="145"/>
      <c r="H225" s="145"/>
      <c r="O225" s="149"/>
    </row>
    <row r="226" spans="1:15">
      <c r="A226" s="145"/>
      <c r="B226" s="145"/>
      <c r="C226" s="145"/>
      <c r="D226" s="145"/>
      <c r="E226" s="145"/>
      <c r="F226" s="145"/>
      <c r="G226" s="145"/>
      <c r="H226" s="145"/>
      <c r="O226" s="149"/>
    </row>
    <row r="227" spans="1:15">
      <c r="A227" s="145"/>
      <c r="B227" s="145"/>
      <c r="C227" s="145"/>
      <c r="D227" s="145"/>
      <c r="E227" s="145"/>
      <c r="F227" s="145"/>
      <c r="G227" s="145"/>
      <c r="H227" s="145"/>
      <c r="O227" s="149"/>
    </row>
    <row r="228" spans="1:15">
      <c r="A228" s="145"/>
      <c r="B228" s="145"/>
      <c r="C228" s="145"/>
      <c r="D228" s="145"/>
      <c r="E228" s="145"/>
      <c r="F228" s="145"/>
      <c r="G228" s="145"/>
      <c r="H228" s="145"/>
      <c r="O228" s="149"/>
    </row>
    <row r="229" spans="1:15">
      <c r="A229" s="145"/>
      <c r="B229" s="145"/>
      <c r="C229" s="145"/>
      <c r="D229" s="145"/>
      <c r="E229" s="145"/>
      <c r="F229" s="145"/>
      <c r="G229" s="145"/>
      <c r="H229" s="145"/>
      <c r="O229" s="149"/>
    </row>
    <row r="230" spans="1:15">
      <c r="A230" s="145"/>
      <c r="B230" s="145"/>
      <c r="C230" s="145"/>
      <c r="D230" s="145"/>
      <c r="E230" s="145"/>
      <c r="F230" s="145"/>
      <c r="G230" s="145"/>
      <c r="H230" s="145"/>
      <c r="O230" s="149"/>
    </row>
    <row r="231" spans="1:15">
      <c r="A231" s="145"/>
      <c r="B231" s="145"/>
      <c r="C231" s="145"/>
      <c r="D231" s="145"/>
      <c r="E231" s="145"/>
      <c r="F231" s="145"/>
      <c r="G231" s="145"/>
      <c r="H231" s="145"/>
      <c r="O231" s="149"/>
    </row>
    <row r="232" spans="1:15">
      <c r="A232" s="145"/>
      <c r="B232" s="145"/>
      <c r="C232" s="145"/>
      <c r="D232" s="145"/>
      <c r="E232" s="145"/>
      <c r="F232" s="145"/>
      <c r="G232" s="145"/>
      <c r="H232" s="145"/>
      <c r="O232" s="149"/>
    </row>
    <row r="233" spans="1:15">
      <c r="A233" s="145"/>
      <c r="B233" s="145"/>
      <c r="C233" s="145"/>
      <c r="D233" s="145"/>
      <c r="E233" s="145"/>
      <c r="F233" s="145"/>
      <c r="G233" s="145"/>
      <c r="H233" s="145"/>
      <c r="O233" s="149"/>
    </row>
    <row r="234" spans="1:15">
      <c r="A234" s="145"/>
      <c r="B234" s="145"/>
      <c r="C234" s="145"/>
      <c r="D234" s="145"/>
      <c r="E234" s="145"/>
      <c r="F234" s="145"/>
      <c r="G234" s="145"/>
      <c r="H234" s="145"/>
      <c r="O234" s="149"/>
    </row>
    <row r="235" spans="1:15">
      <c r="A235" s="145"/>
      <c r="B235" s="145"/>
      <c r="C235" s="145"/>
      <c r="D235" s="145"/>
      <c r="E235" s="145"/>
      <c r="F235" s="145"/>
      <c r="G235" s="145"/>
      <c r="H235" s="145"/>
      <c r="O235" s="149"/>
    </row>
    <row r="236" spans="1:15">
      <c r="A236" s="145"/>
      <c r="B236" s="145"/>
      <c r="C236" s="145"/>
      <c r="D236" s="145"/>
      <c r="E236" s="145"/>
      <c r="F236" s="145"/>
      <c r="G236" s="145"/>
      <c r="H236" s="145"/>
      <c r="O236" s="149"/>
    </row>
    <row r="237" spans="1:15">
      <c r="A237" s="145"/>
      <c r="B237" s="145"/>
      <c r="C237" s="145"/>
      <c r="D237" s="145"/>
      <c r="E237" s="145"/>
      <c r="F237" s="145"/>
      <c r="G237" s="145"/>
      <c r="H237" s="145"/>
      <c r="O237" s="149"/>
    </row>
    <row r="238" spans="1:15">
      <c r="A238" s="145"/>
      <c r="B238" s="145"/>
      <c r="C238" s="145"/>
      <c r="D238" s="145"/>
      <c r="E238" s="145"/>
      <c r="F238" s="145"/>
      <c r="G238" s="145"/>
      <c r="H238" s="145"/>
      <c r="O238" s="149"/>
    </row>
    <row r="239" spans="1:15">
      <c r="A239" s="145"/>
      <c r="B239" s="145"/>
      <c r="C239" s="145"/>
      <c r="D239" s="145"/>
      <c r="E239" s="145"/>
      <c r="F239" s="145"/>
      <c r="G239" s="145"/>
      <c r="H239" s="145"/>
      <c r="O239" s="149"/>
    </row>
    <row r="240" spans="1:15">
      <c r="A240" s="145"/>
      <c r="B240" s="145"/>
      <c r="C240" s="145"/>
      <c r="D240" s="145"/>
      <c r="E240" s="145"/>
      <c r="F240" s="145"/>
      <c r="G240" s="145"/>
      <c r="H240" s="145"/>
      <c r="O240" s="149"/>
    </row>
    <row r="241" spans="1:15">
      <c r="A241" s="145"/>
      <c r="B241" s="145"/>
      <c r="C241" s="145"/>
      <c r="D241" s="145"/>
      <c r="E241" s="145"/>
      <c r="F241" s="145"/>
      <c r="G241" s="145"/>
      <c r="H241" s="145"/>
      <c r="O241" s="149"/>
    </row>
    <row r="242" spans="1:15">
      <c r="A242" s="145"/>
      <c r="B242" s="145"/>
      <c r="C242" s="145"/>
      <c r="D242" s="145"/>
      <c r="E242" s="145"/>
      <c r="F242" s="145"/>
      <c r="G242" s="145"/>
      <c r="H242" s="145"/>
      <c r="O242" s="149"/>
    </row>
    <row r="243" spans="1:15">
      <c r="A243" s="145"/>
      <c r="B243" s="145"/>
      <c r="C243" s="145"/>
      <c r="D243" s="145"/>
      <c r="E243" s="145"/>
      <c r="F243" s="145"/>
      <c r="G243" s="145"/>
      <c r="H243" s="145"/>
      <c r="O243" s="149"/>
    </row>
    <row r="244" spans="1:15">
      <c r="A244" s="145"/>
      <c r="B244" s="145"/>
      <c r="C244" s="145"/>
      <c r="D244" s="145"/>
      <c r="E244" s="145"/>
      <c r="F244" s="145"/>
      <c r="G244" s="145"/>
      <c r="H244" s="145"/>
      <c r="O244" s="149"/>
    </row>
    <row r="245" spans="1:15">
      <c r="A245" s="145"/>
      <c r="B245" s="145"/>
      <c r="C245" s="145"/>
      <c r="D245" s="145"/>
      <c r="E245" s="145"/>
      <c r="F245" s="145"/>
      <c r="G245" s="145"/>
      <c r="H245" s="145"/>
      <c r="O245" s="149"/>
    </row>
    <row r="246" spans="1:15">
      <c r="A246" s="145"/>
      <c r="B246" s="145"/>
      <c r="C246" s="145"/>
      <c r="D246" s="145"/>
      <c r="E246" s="145"/>
      <c r="F246" s="145"/>
      <c r="G246" s="145"/>
      <c r="H246" s="145"/>
      <c r="O246" s="149"/>
    </row>
    <row r="247" spans="1:15">
      <c r="A247" s="145"/>
      <c r="B247" s="145"/>
      <c r="C247" s="145"/>
      <c r="D247" s="145"/>
      <c r="E247" s="145"/>
      <c r="F247" s="145"/>
      <c r="G247" s="145"/>
      <c r="H247" s="145"/>
      <c r="O247" s="149"/>
    </row>
    <row r="248" spans="1:15">
      <c r="A248" s="145"/>
      <c r="B248" s="145"/>
      <c r="C248" s="145"/>
      <c r="D248" s="145"/>
      <c r="E248" s="145"/>
      <c r="F248" s="145"/>
      <c r="G248" s="145"/>
      <c r="H248" s="145"/>
      <c r="O248" s="149"/>
    </row>
    <row r="249" spans="1:15">
      <c r="A249" s="145"/>
      <c r="B249" s="145"/>
      <c r="C249" s="145"/>
      <c r="D249" s="145"/>
      <c r="E249" s="145"/>
      <c r="F249" s="145"/>
      <c r="G249" s="145"/>
      <c r="H249" s="145"/>
      <c r="O249" s="149"/>
    </row>
    <row r="250" spans="1:15">
      <c r="A250" s="145"/>
      <c r="B250" s="145"/>
      <c r="C250" s="145"/>
      <c r="D250" s="145"/>
      <c r="E250" s="145"/>
      <c r="F250" s="145"/>
      <c r="G250" s="145"/>
      <c r="H250" s="145"/>
      <c r="O250" s="149"/>
    </row>
    <row r="251" spans="1:15">
      <c r="A251" s="145"/>
      <c r="B251" s="145"/>
      <c r="C251" s="145"/>
      <c r="D251" s="145"/>
      <c r="E251" s="145"/>
      <c r="F251" s="145"/>
      <c r="G251" s="145"/>
      <c r="H251" s="145"/>
      <c r="O251" s="149"/>
    </row>
    <row r="252" spans="1:15">
      <c r="A252" s="145"/>
      <c r="B252" s="145"/>
      <c r="C252" s="145"/>
      <c r="D252" s="145"/>
      <c r="E252" s="145"/>
      <c r="F252" s="145"/>
      <c r="G252" s="145"/>
      <c r="H252" s="145"/>
      <c r="O252" s="149"/>
    </row>
    <row r="253" spans="1:15">
      <c r="A253" s="145"/>
      <c r="B253" s="145"/>
      <c r="C253" s="145"/>
      <c r="D253" s="145"/>
      <c r="E253" s="145"/>
      <c r="F253" s="145"/>
      <c r="G253" s="145"/>
      <c r="H253" s="145"/>
      <c r="O253" s="149"/>
    </row>
    <row r="254" spans="1:15">
      <c r="A254" s="145"/>
      <c r="B254" s="145"/>
      <c r="C254" s="145"/>
      <c r="D254" s="145"/>
      <c r="E254" s="145"/>
      <c r="F254" s="145"/>
      <c r="G254" s="145"/>
      <c r="H254" s="145"/>
      <c r="O254" s="149"/>
    </row>
    <row r="255" spans="1:15">
      <c r="A255" s="145"/>
      <c r="B255" s="145"/>
      <c r="C255" s="145"/>
      <c r="D255" s="145"/>
      <c r="E255" s="145"/>
      <c r="F255" s="145"/>
      <c r="G255" s="145"/>
      <c r="H255" s="145"/>
      <c r="O255" s="149"/>
    </row>
    <row r="256" spans="1:15">
      <c r="A256" s="145"/>
      <c r="B256" s="145"/>
      <c r="C256" s="145"/>
      <c r="D256" s="145"/>
      <c r="E256" s="145"/>
      <c r="F256" s="145"/>
      <c r="G256" s="145"/>
      <c r="H256" s="145"/>
      <c r="O256" s="149"/>
    </row>
    <row r="257" spans="1:15">
      <c r="A257" s="145"/>
      <c r="B257" s="145"/>
      <c r="C257" s="145"/>
      <c r="D257" s="145"/>
      <c r="E257" s="145"/>
      <c r="F257" s="145"/>
      <c r="G257" s="145"/>
      <c r="H257" s="145"/>
      <c r="O257" s="149"/>
    </row>
    <row r="258" spans="1:15">
      <c r="A258" s="145"/>
      <c r="B258" s="145"/>
      <c r="C258" s="145"/>
      <c r="D258" s="145"/>
      <c r="E258" s="145"/>
      <c r="F258" s="145"/>
      <c r="G258" s="145"/>
      <c r="H258" s="145"/>
      <c r="O258" s="149"/>
    </row>
    <row r="259" spans="1:15">
      <c r="A259" s="145"/>
      <c r="B259" s="145"/>
      <c r="C259" s="145"/>
      <c r="D259" s="145"/>
      <c r="E259" s="145"/>
      <c r="F259" s="145"/>
      <c r="G259" s="145"/>
      <c r="H259" s="145"/>
      <c r="O259" s="149"/>
    </row>
    <row r="260" spans="1:15">
      <c r="A260" s="145"/>
      <c r="B260" s="145"/>
      <c r="C260" s="145"/>
      <c r="D260" s="145"/>
      <c r="E260" s="145"/>
      <c r="F260" s="145"/>
      <c r="G260" s="145"/>
      <c r="H260" s="145"/>
      <c r="O260" s="149"/>
    </row>
    <row r="261" spans="1:15">
      <c r="A261" s="145"/>
      <c r="B261" s="145"/>
      <c r="C261" s="145"/>
      <c r="D261" s="145"/>
      <c r="E261" s="145"/>
      <c r="F261" s="145"/>
      <c r="G261" s="145"/>
      <c r="H261" s="145"/>
      <c r="O261" s="149"/>
    </row>
    <row r="262" spans="1:15">
      <c r="A262" s="145"/>
      <c r="B262" s="145"/>
      <c r="C262" s="145"/>
      <c r="D262" s="145"/>
      <c r="E262" s="145"/>
      <c r="F262" s="145"/>
      <c r="G262" s="145"/>
      <c r="H262" s="145"/>
      <c r="O262" s="149"/>
    </row>
    <row r="263" spans="1:15">
      <c r="A263" s="145"/>
      <c r="B263" s="145"/>
      <c r="C263" s="145"/>
      <c r="D263" s="145"/>
      <c r="E263" s="145"/>
      <c r="F263" s="145"/>
      <c r="G263" s="145"/>
      <c r="H263" s="145"/>
      <c r="O263" s="149"/>
    </row>
    <row r="264" spans="1:15">
      <c r="A264" s="145"/>
      <c r="B264" s="145"/>
      <c r="C264" s="145"/>
      <c r="D264" s="145"/>
      <c r="E264" s="145"/>
      <c r="F264" s="145"/>
      <c r="G264" s="145"/>
      <c r="H264" s="145"/>
      <c r="O264" s="149"/>
    </row>
    <row r="265" spans="1:15">
      <c r="A265" s="145"/>
      <c r="B265" s="145"/>
      <c r="C265" s="145"/>
      <c r="D265" s="145"/>
      <c r="E265" s="145"/>
      <c r="F265" s="145"/>
      <c r="G265" s="145"/>
      <c r="H265" s="145"/>
      <c r="O265" s="149"/>
    </row>
    <row r="266" spans="1:15">
      <c r="A266" s="145"/>
      <c r="B266" s="145"/>
      <c r="C266" s="145"/>
      <c r="D266" s="145"/>
      <c r="E266" s="145"/>
      <c r="F266" s="145"/>
      <c r="G266" s="145"/>
      <c r="H266" s="145"/>
      <c r="O266" s="149"/>
    </row>
    <row r="267" spans="1:15">
      <c r="A267" s="145"/>
      <c r="B267" s="145"/>
      <c r="C267" s="145"/>
      <c r="D267" s="145"/>
      <c r="E267" s="145"/>
      <c r="F267" s="145"/>
      <c r="G267" s="145"/>
      <c r="H267" s="145"/>
      <c r="O267" s="149"/>
    </row>
    <row r="268" spans="1:15">
      <c r="A268" s="145"/>
      <c r="B268" s="145"/>
      <c r="C268" s="145"/>
      <c r="D268" s="145"/>
      <c r="E268" s="145"/>
      <c r="F268" s="145"/>
      <c r="G268" s="145"/>
      <c r="H268" s="145"/>
      <c r="O268" s="149"/>
    </row>
    <row r="269" spans="1:15">
      <c r="A269" s="145"/>
      <c r="B269" s="145"/>
      <c r="C269" s="145"/>
      <c r="D269" s="145"/>
      <c r="E269" s="145"/>
      <c r="F269" s="145"/>
      <c r="G269" s="145"/>
      <c r="H269" s="145"/>
      <c r="O269" s="149"/>
    </row>
    <row r="270" spans="1:15">
      <c r="A270" s="145"/>
      <c r="B270" s="145"/>
      <c r="C270" s="145"/>
      <c r="D270" s="145"/>
      <c r="E270" s="145"/>
      <c r="F270" s="145"/>
      <c r="G270" s="145"/>
      <c r="H270" s="145"/>
      <c r="O270" s="149"/>
    </row>
    <row r="271" spans="1:15">
      <c r="A271" s="145"/>
      <c r="B271" s="145"/>
      <c r="C271" s="145"/>
      <c r="D271" s="145"/>
      <c r="E271" s="145"/>
      <c r="F271" s="145"/>
      <c r="G271" s="145"/>
      <c r="H271" s="145"/>
      <c r="O271" s="149"/>
    </row>
    <row r="272" spans="1:15">
      <c r="A272" s="145"/>
      <c r="B272" s="145"/>
      <c r="C272" s="145"/>
      <c r="D272" s="145"/>
      <c r="E272" s="145"/>
      <c r="F272" s="145"/>
      <c r="G272" s="145"/>
      <c r="H272" s="145"/>
      <c r="O272" s="149"/>
    </row>
    <row r="273" spans="1:15">
      <c r="A273" s="145"/>
      <c r="B273" s="145"/>
      <c r="C273" s="145"/>
      <c r="D273" s="145"/>
      <c r="E273" s="145"/>
      <c r="F273" s="145"/>
      <c r="G273" s="145"/>
      <c r="H273" s="145"/>
      <c r="O273" s="149"/>
    </row>
    <row r="274" spans="1:15">
      <c r="A274" s="145"/>
      <c r="B274" s="145"/>
      <c r="C274" s="145"/>
      <c r="D274" s="145"/>
      <c r="E274" s="145"/>
      <c r="F274" s="145"/>
      <c r="G274" s="145"/>
      <c r="H274" s="145"/>
      <c r="O274" s="149"/>
    </row>
    <row r="275" spans="1:15">
      <c r="A275" s="145"/>
      <c r="B275" s="145"/>
      <c r="C275" s="145"/>
      <c r="D275" s="145"/>
      <c r="E275" s="145"/>
      <c r="F275" s="145"/>
      <c r="G275" s="145"/>
      <c r="H275" s="145"/>
      <c r="O275" s="149"/>
    </row>
    <row r="276" spans="1:15">
      <c r="A276" s="145"/>
      <c r="B276" s="145"/>
      <c r="C276" s="145"/>
      <c r="D276" s="145"/>
      <c r="E276" s="145"/>
      <c r="F276" s="145"/>
      <c r="G276" s="145"/>
      <c r="H276" s="145"/>
      <c r="O276" s="149"/>
    </row>
    <row r="277" spans="1:15">
      <c r="A277" s="145"/>
      <c r="B277" s="145"/>
      <c r="C277" s="145"/>
      <c r="D277" s="145"/>
      <c r="E277" s="145"/>
      <c r="F277" s="145"/>
      <c r="G277" s="145"/>
      <c r="H277" s="145"/>
      <c r="O277" s="149"/>
    </row>
    <row r="278" spans="1:15">
      <c r="A278" s="145"/>
      <c r="B278" s="145"/>
      <c r="C278" s="145"/>
      <c r="D278" s="145"/>
      <c r="E278" s="145"/>
      <c r="F278" s="145"/>
      <c r="G278" s="145"/>
      <c r="H278" s="145"/>
      <c r="O278" s="149"/>
    </row>
    <row r="279" spans="1:15">
      <c r="A279" s="145"/>
      <c r="B279" s="145"/>
      <c r="C279" s="145"/>
      <c r="D279" s="145"/>
      <c r="E279" s="145"/>
      <c r="F279" s="145"/>
      <c r="G279" s="145"/>
      <c r="H279" s="145"/>
      <c r="O279" s="149"/>
    </row>
    <row r="280" spans="1:15">
      <c r="A280" s="145"/>
      <c r="B280" s="145"/>
      <c r="C280" s="145"/>
      <c r="D280" s="145"/>
      <c r="E280" s="145"/>
      <c r="F280" s="145"/>
      <c r="G280" s="145"/>
      <c r="H280" s="145"/>
      <c r="O280" s="149"/>
    </row>
    <row r="281" spans="1:15">
      <c r="A281" s="145"/>
      <c r="B281" s="145"/>
      <c r="C281" s="145"/>
      <c r="D281" s="145"/>
      <c r="E281" s="145"/>
      <c r="F281" s="145"/>
      <c r="G281" s="145"/>
      <c r="H281" s="145"/>
      <c r="O281" s="149"/>
    </row>
    <row r="282" spans="1:15">
      <c r="A282" s="145"/>
      <c r="B282" s="145"/>
      <c r="C282" s="145"/>
      <c r="D282" s="145"/>
      <c r="E282" s="145"/>
      <c r="F282" s="145"/>
      <c r="G282" s="145"/>
      <c r="H282" s="145"/>
      <c r="O282" s="149"/>
    </row>
    <row r="283" spans="1:15">
      <c r="A283" s="145"/>
      <c r="B283" s="145"/>
      <c r="C283" s="145"/>
      <c r="D283" s="145"/>
      <c r="E283" s="145"/>
      <c r="F283" s="145"/>
      <c r="G283" s="145"/>
      <c r="H283" s="145"/>
      <c r="O283" s="149"/>
    </row>
    <row r="284" spans="1:15">
      <c r="A284" s="145"/>
      <c r="B284" s="145"/>
      <c r="C284" s="145"/>
      <c r="D284" s="145"/>
      <c r="E284" s="145"/>
      <c r="F284" s="145"/>
      <c r="G284" s="145"/>
      <c r="H284" s="145"/>
    </row>
    <row r="285" spans="1:15">
      <c r="A285" s="145"/>
      <c r="B285" s="145"/>
      <c r="C285" s="145"/>
      <c r="D285" s="145"/>
      <c r="E285" s="145"/>
      <c r="F285" s="145"/>
      <c r="G285" s="145"/>
      <c r="H285" s="145"/>
    </row>
    <row r="286" spans="1:15">
      <c r="A286" s="145"/>
      <c r="B286" s="145"/>
      <c r="C286" s="145"/>
      <c r="D286" s="145"/>
      <c r="E286" s="145"/>
      <c r="F286" s="145"/>
      <c r="G286" s="145"/>
      <c r="H286" s="145"/>
    </row>
    <row r="287" spans="1:15">
      <c r="A287" s="145"/>
      <c r="B287" s="145"/>
      <c r="C287" s="145"/>
      <c r="D287" s="145"/>
      <c r="E287" s="145"/>
      <c r="F287" s="145"/>
      <c r="G287" s="145"/>
      <c r="H287" s="145"/>
    </row>
    <row r="288" spans="1:15">
      <c r="A288" s="145"/>
      <c r="B288" s="145"/>
      <c r="C288" s="145"/>
      <c r="D288" s="145"/>
      <c r="E288" s="145"/>
      <c r="F288" s="145"/>
      <c r="G288" s="145"/>
      <c r="H288" s="145"/>
    </row>
    <row r="289" spans="1:8">
      <c r="A289" s="145"/>
      <c r="B289" s="145"/>
      <c r="C289" s="145"/>
      <c r="D289" s="145"/>
      <c r="E289" s="145"/>
      <c r="F289" s="145"/>
      <c r="G289" s="145"/>
      <c r="H289" s="145"/>
    </row>
    <row r="290" spans="1:8">
      <c r="A290" s="145"/>
      <c r="B290" s="145"/>
      <c r="C290" s="145"/>
      <c r="D290" s="145"/>
      <c r="E290" s="145"/>
      <c r="F290" s="145"/>
      <c r="G290" s="145"/>
      <c r="H290" s="145"/>
    </row>
    <row r="291" spans="1:8">
      <c r="A291" s="145"/>
      <c r="B291" s="145"/>
      <c r="C291" s="145"/>
      <c r="D291" s="145"/>
      <c r="E291" s="145"/>
      <c r="F291" s="145"/>
      <c r="G291" s="145"/>
      <c r="H291" s="145"/>
    </row>
    <row r="292" spans="1:8">
      <c r="A292" s="145"/>
      <c r="B292" s="145"/>
      <c r="C292" s="145"/>
      <c r="D292" s="145"/>
      <c r="E292" s="145"/>
      <c r="F292" s="145"/>
      <c r="G292" s="145"/>
      <c r="H292" s="145"/>
    </row>
    <row r="293" spans="1:8">
      <c r="A293" s="145"/>
      <c r="B293" s="145"/>
      <c r="C293" s="145"/>
      <c r="D293" s="145"/>
      <c r="E293" s="145"/>
      <c r="F293" s="145"/>
      <c r="G293" s="145"/>
      <c r="H293" s="145"/>
    </row>
    <row r="294" spans="1:8">
      <c r="A294" s="145"/>
      <c r="B294" s="145"/>
      <c r="C294" s="145"/>
      <c r="D294" s="145"/>
      <c r="E294" s="145"/>
      <c r="F294" s="145"/>
      <c r="G294" s="145"/>
      <c r="H294" s="145"/>
    </row>
    <row r="295" spans="1:8">
      <c r="A295" s="145"/>
      <c r="B295" s="145"/>
      <c r="C295" s="145"/>
      <c r="D295" s="145"/>
      <c r="E295" s="145"/>
      <c r="F295" s="145"/>
      <c r="G295" s="145"/>
      <c r="H295" s="145"/>
    </row>
    <row r="296" spans="1:8">
      <c r="A296" s="145"/>
      <c r="B296" s="145"/>
      <c r="C296" s="145"/>
      <c r="D296" s="145"/>
      <c r="E296" s="145"/>
      <c r="F296" s="145"/>
      <c r="G296" s="145"/>
      <c r="H296" s="145"/>
    </row>
    <row r="297" spans="1:8">
      <c r="A297" s="145"/>
      <c r="B297" s="145"/>
      <c r="C297" s="145"/>
      <c r="D297" s="145"/>
      <c r="E297" s="145"/>
      <c r="F297" s="145"/>
      <c r="G297" s="145"/>
      <c r="H297" s="145"/>
    </row>
    <row r="298" spans="1:8">
      <c r="A298" s="145"/>
      <c r="B298" s="145"/>
      <c r="C298" s="145"/>
      <c r="D298" s="145"/>
      <c r="E298" s="145"/>
      <c r="F298" s="145"/>
      <c r="G298" s="145"/>
      <c r="H298" s="145"/>
    </row>
    <row r="299" spans="1:8">
      <c r="A299" s="145"/>
      <c r="B299" s="145"/>
      <c r="C299" s="145"/>
      <c r="D299" s="145"/>
      <c r="E299" s="145"/>
      <c r="F299" s="145"/>
      <c r="G299" s="145"/>
      <c r="H299" s="145"/>
    </row>
    <row r="300" spans="1:8">
      <c r="A300" s="145"/>
      <c r="B300" s="145"/>
      <c r="C300" s="145"/>
      <c r="D300" s="145"/>
      <c r="E300" s="145"/>
      <c r="F300" s="145"/>
      <c r="G300" s="145"/>
      <c r="H300" s="145"/>
    </row>
    <row r="301" spans="1:8">
      <c r="A301" s="145"/>
      <c r="B301" s="145"/>
      <c r="C301" s="145"/>
      <c r="D301" s="145"/>
      <c r="E301" s="145"/>
      <c r="F301" s="145"/>
      <c r="G301" s="145"/>
      <c r="H301" s="145"/>
    </row>
    <row r="302" spans="1:8">
      <c r="A302" s="145"/>
      <c r="B302" s="145"/>
      <c r="C302" s="145"/>
      <c r="D302" s="145"/>
      <c r="E302" s="145"/>
      <c r="F302" s="145"/>
      <c r="G302" s="145"/>
      <c r="H302" s="145"/>
    </row>
    <row r="303" spans="1:8">
      <c r="A303" s="145"/>
      <c r="B303" s="145"/>
      <c r="C303" s="145"/>
      <c r="D303" s="145"/>
      <c r="E303" s="145"/>
      <c r="F303" s="145"/>
      <c r="G303" s="145"/>
      <c r="H303" s="145"/>
    </row>
    <row r="304" spans="1:8">
      <c r="A304" s="145"/>
      <c r="B304" s="145"/>
      <c r="C304" s="145"/>
      <c r="D304" s="145"/>
      <c r="E304" s="145"/>
      <c r="F304" s="145"/>
      <c r="G304" s="145"/>
      <c r="H304" s="14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3A2DC-8D97-400A-BC0C-3CA7D6BA46F3}">
  <sheetPr codeName="Sheet11"/>
  <dimension ref="A1:U389"/>
  <sheetViews>
    <sheetView zoomScaleNormal="100" workbookViewId="0">
      <selection activeCell="B7" sqref="B7"/>
    </sheetView>
  </sheetViews>
  <sheetFormatPr defaultColWidth="9.109375" defaultRowHeight="14.4"/>
  <cols>
    <col min="1" max="1" width="46.5546875" style="139" bestFit="1" customWidth="1"/>
    <col min="2" max="2" width="14.5546875" style="139" customWidth="1"/>
    <col min="3" max="4" width="11.88671875" style="139" customWidth="1"/>
    <col min="5" max="5" width="11.5546875" style="139" bestFit="1" customWidth="1"/>
    <col min="6" max="9" width="11.5546875" style="139" customWidth="1"/>
    <col min="10" max="10" width="11" style="139" customWidth="1"/>
    <col min="11" max="14" width="11.5546875" style="139" customWidth="1"/>
    <col min="15" max="15" width="10.88671875" style="139" customWidth="1"/>
    <col min="16" max="19" width="9.109375" style="139"/>
    <col min="20" max="20" width="11" style="139" bestFit="1" customWidth="1"/>
    <col min="21" max="16384" width="9.109375" style="139"/>
  </cols>
  <sheetData>
    <row r="1" spans="1:20">
      <c r="A1" s="139" t="s">
        <v>6</v>
      </c>
      <c r="B1" s="166"/>
    </row>
    <row r="2" spans="1:20">
      <c r="B2" s="167"/>
    </row>
    <row r="3" spans="1:20" ht="16.2">
      <c r="A3" s="144" t="s">
        <v>13</v>
      </c>
      <c r="B3" s="168">
        <v>1.3806490000000001E-23</v>
      </c>
      <c r="C3" s="139" t="s">
        <v>14</v>
      </c>
    </row>
    <row r="4" spans="1:20" ht="16.8">
      <c r="A4" s="144" t="s">
        <v>19</v>
      </c>
      <c r="B4" s="168">
        <v>6.0221407599999999E+23</v>
      </c>
      <c r="C4" s="139" t="s">
        <v>18</v>
      </c>
      <c r="K4" s="169"/>
    </row>
    <row r="5" spans="1:20" ht="16.2">
      <c r="A5" s="144" t="s">
        <v>12</v>
      </c>
      <c r="B5" s="170">
        <v>8.3144626181532395</v>
      </c>
      <c r="C5" s="139" t="s">
        <v>0</v>
      </c>
    </row>
    <row r="6" spans="1:20">
      <c r="A6" s="144" t="s">
        <v>1</v>
      </c>
      <c r="B6" s="145">
        <f>'PC-SAFT VLE'!B3</f>
        <v>233.14999999999998</v>
      </c>
      <c r="C6" s="139" t="s">
        <v>2</v>
      </c>
      <c r="J6" s="171"/>
      <c r="K6" s="171"/>
    </row>
    <row r="7" spans="1:20">
      <c r="A7" s="144" t="s">
        <v>85</v>
      </c>
      <c r="B7" s="193">
        <f>'PC-SAFT VLE'!F3</f>
        <v>0.36478456406367621</v>
      </c>
      <c r="E7" s="171"/>
      <c r="F7" s="171"/>
      <c r="G7" s="171"/>
      <c r="H7" s="171"/>
      <c r="I7" s="171"/>
    </row>
    <row r="8" spans="1:20" ht="16.2">
      <c r="A8" s="144" t="s">
        <v>16</v>
      </c>
      <c r="B8" s="148">
        <f>6*B7/(SUMPRODUCT(B15:D15,B16:D16,B19:D19^3)*PI())</f>
        <v>8.6299788984491223E-3</v>
      </c>
      <c r="C8" s="139" t="s">
        <v>11</v>
      </c>
    </row>
    <row r="9" spans="1:20" ht="16.2">
      <c r="A9" s="144" t="s">
        <v>17</v>
      </c>
      <c r="B9" s="172">
        <f>B4*10^-30/B8</f>
        <v>6.9781639455482653E-5</v>
      </c>
      <c r="C9" s="173" t="s">
        <v>15</v>
      </c>
      <c r="E9" s="171"/>
      <c r="F9" s="171"/>
      <c r="G9" s="171"/>
      <c r="H9" s="171"/>
      <c r="I9" s="171"/>
      <c r="K9" s="171"/>
    </row>
    <row r="10" spans="1:20">
      <c r="A10" s="144" t="s">
        <v>147</v>
      </c>
      <c r="B10" s="174">
        <f>B8*1E+30/B4</f>
        <v>14330.417109760687</v>
      </c>
    </row>
    <row r="11" spans="1:20">
      <c r="A11" s="140" t="s">
        <v>30</v>
      </c>
      <c r="B11" s="174"/>
      <c r="F11" s="139" t="s">
        <v>67</v>
      </c>
      <c r="K11" s="139" t="s">
        <v>127</v>
      </c>
      <c r="S11" s="139" t="s">
        <v>126</v>
      </c>
    </row>
    <row r="12" spans="1:20">
      <c r="A12" s="144"/>
      <c r="B12" s="170"/>
    </row>
    <row r="13" spans="1:20" ht="15.6">
      <c r="A13" s="175" t="s">
        <v>4</v>
      </c>
      <c r="B13" s="176" t="s">
        <v>86</v>
      </c>
      <c r="C13" s="177" t="s">
        <v>87</v>
      </c>
      <c r="D13" s="177" t="s">
        <v>88</v>
      </c>
      <c r="F13" s="178" t="s">
        <v>89</v>
      </c>
      <c r="L13" s="144" t="s">
        <v>76</v>
      </c>
      <c r="M13" s="140">
        <v>1E-4</v>
      </c>
      <c r="T13" s="139">
        <f>PCSAFTA(B6,B8,B15:D15,B16:D16,B17:D17,B18:D18,G15:I17)</f>
        <v>-3.5498854359319525</v>
      </c>
    </row>
    <row r="14" spans="1:20">
      <c r="A14" s="146" t="s">
        <v>8</v>
      </c>
      <c r="B14" s="179">
        <v>1</v>
      </c>
      <c r="C14" s="179">
        <v>2</v>
      </c>
      <c r="D14" s="179">
        <v>3</v>
      </c>
      <c r="F14" s="175" t="s">
        <v>3</v>
      </c>
      <c r="G14" s="177">
        <v>1</v>
      </c>
      <c r="H14" s="177">
        <v>2</v>
      </c>
      <c r="I14" s="177">
        <v>3</v>
      </c>
      <c r="L14" s="144" t="s">
        <v>71</v>
      </c>
      <c r="M14" s="140">
        <f>M13*B15</f>
        <v>1.0000000000000001E-5</v>
      </c>
    </row>
    <row r="15" spans="1:20" ht="15.6">
      <c r="A15" s="146" t="s">
        <v>9</v>
      </c>
      <c r="B15" s="180">
        <f t="array" ref="B15:D15">TRANSPOSE('PC-SAFT VLE'!C7:C9)</f>
        <v>0.1</v>
      </c>
      <c r="C15" s="180">
        <v>0.3</v>
      </c>
      <c r="D15" s="180">
        <v>0.6</v>
      </c>
      <c r="F15" s="146">
        <v>1</v>
      </c>
      <c r="G15" s="148">
        <v>0</v>
      </c>
      <c r="H15" s="148">
        <f>G16</f>
        <v>2.9999999999999997E-4</v>
      </c>
      <c r="I15" s="148">
        <f>G17</f>
        <v>1.15E-2</v>
      </c>
      <c r="T15" s="139">
        <f>PCSAFTZ(B6,B8,B15:D15,B16:D16,B17:D17,B18:D18,G15:I17)</f>
        <v>4.5946027959566038E-2</v>
      </c>
    </row>
    <row r="16" spans="1:20" ht="15.6">
      <c r="A16" s="146" t="s">
        <v>7</v>
      </c>
      <c r="B16" s="180">
        <v>1</v>
      </c>
      <c r="C16" s="180">
        <v>1.6069</v>
      </c>
      <c r="D16" s="180">
        <v>2.0019999999999998</v>
      </c>
      <c r="F16" s="146">
        <v>2</v>
      </c>
      <c r="G16" s="148">
        <v>2.9999999999999997E-4</v>
      </c>
      <c r="H16" s="148">
        <v>0</v>
      </c>
      <c r="I16" s="148">
        <f>H17</f>
        <v>5.1000000000000004E-3</v>
      </c>
      <c r="J16" s="181"/>
      <c r="K16" s="175" t="s">
        <v>70</v>
      </c>
      <c r="L16" s="182" t="s">
        <v>117</v>
      </c>
      <c r="M16" s="182" t="s">
        <v>116</v>
      </c>
      <c r="N16" s="182" t="s">
        <v>115</v>
      </c>
      <c r="O16" s="183"/>
    </row>
    <row r="17" spans="1:21" ht="15.6">
      <c r="A17" s="146" t="s">
        <v>10</v>
      </c>
      <c r="B17" s="180">
        <v>3.7039</v>
      </c>
      <c r="C17" s="180">
        <v>3.5206</v>
      </c>
      <c r="D17" s="180">
        <v>3.6183999999999998</v>
      </c>
      <c r="F17" s="146">
        <v>3</v>
      </c>
      <c r="G17" s="148">
        <v>1.15E-2</v>
      </c>
      <c r="H17" s="148">
        <v>5.1000000000000004E-3</v>
      </c>
      <c r="I17" s="148">
        <v>0</v>
      </c>
      <c r="K17" s="184" t="s">
        <v>72</v>
      </c>
      <c r="L17" s="185">
        <f>B15-2*M14</f>
        <v>9.9979999999999999E-2</v>
      </c>
      <c r="M17" s="185">
        <f>C15</f>
        <v>0.3</v>
      </c>
      <c r="N17" s="185">
        <f>D15</f>
        <v>0.6</v>
      </c>
      <c r="O17" s="186">
        <f>PCSAFTA(B6,B8,L17:N17,B16:D16,B17:D17,B18:D18,G15:I17)</f>
        <v>-3.5498729760303984</v>
      </c>
      <c r="S17" s="144" t="s">
        <v>125</v>
      </c>
      <c r="T17" s="181">
        <f>T15*B3*B6*B8*10^30</f>
        <v>1276369.4735853318</v>
      </c>
      <c r="U17" s="139" t="s">
        <v>124</v>
      </c>
    </row>
    <row r="18" spans="1:21" ht="15.6">
      <c r="A18" s="146" t="s">
        <v>21</v>
      </c>
      <c r="B18" s="179">
        <v>150.03</v>
      </c>
      <c r="C18" s="179">
        <v>191.42</v>
      </c>
      <c r="D18" s="179">
        <v>208.11</v>
      </c>
      <c r="J18" s="181"/>
      <c r="K18" s="146" t="s">
        <v>73</v>
      </c>
      <c r="L18" s="187">
        <f>B15-M14</f>
        <v>9.9990000000000009E-2</v>
      </c>
      <c r="M18" s="187">
        <f>M17</f>
        <v>0.3</v>
      </c>
      <c r="N18" s="187">
        <f>N17</f>
        <v>0.6</v>
      </c>
      <c r="O18" s="188">
        <f>PCSAFTA(B6,B8,L18:N18,B16:D16,B17:D17,B18:D18,G15:I17)</f>
        <v>-3.5498792062510893</v>
      </c>
    </row>
    <row r="19" spans="1:21" ht="19.8">
      <c r="A19" s="146" t="s">
        <v>20</v>
      </c>
      <c r="B19" s="180">
        <f>B17*(1-0.12*EXP(-3*B18/$B6))</f>
        <v>3.6394168391548423</v>
      </c>
      <c r="C19" s="180">
        <f>C17*(1-0.12*EXP(-3*C18/$B6))</f>
        <v>3.484616027410032</v>
      </c>
      <c r="D19" s="180">
        <f>D17*(1-0.12*EXP(-3*D18/$B6))</f>
        <v>3.5885638814010004</v>
      </c>
      <c r="K19" s="146" t="s">
        <v>74</v>
      </c>
      <c r="L19" s="187">
        <f>B15+M14</f>
        <v>0.10001</v>
      </c>
      <c r="M19" s="187">
        <f t="shared" ref="M19:N20" si="0">M18</f>
        <v>0.3</v>
      </c>
      <c r="N19" s="187">
        <f t="shared" si="0"/>
        <v>0.6</v>
      </c>
      <c r="O19" s="188">
        <f>PCSAFTA(B6,B8,L19:N19,B16:D16,B17:D17,B18:D18,G15:I17)</f>
        <v>-3.5498916650729839</v>
      </c>
      <c r="S19" s="189" t="s">
        <v>123</v>
      </c>
      <c r="T19" s="181">
        <f>EXP(T13+(T15-1)+M23-(B15*M23+C15*M35+D15*M47)-LN(T15))</f>
        <v>6.9061960852382667</v>
      </c>
      <c r="U19" s="139" t="s">
        <v>119</v>
      </c>
    </row>
    <row r="20" spans="1:21" ht="19.8">
      <c r="A20" s="140"/>
      <c r="B20" s="180"/>
      <c r="C20" s="180"/>
      <c r="D20" s="180"/>
      <c r="J20" s="171"/>
      <c r="K20" s="146" t="s">
        <v>75</v>
      </c>
      <c r="L20" s="187">
        <f>B15+2*M14</f>
        <v>0.10002000000000001</v>
      </c>
      <c r="M20" s="187">
        <f t="shared" si="0"/>
        <v>0.3</v>
      </c>
      <c r="N20" s="187">
        <f t="shared" si="0"/>
        <v>0.6</v>
      </c>
      <c r="O20" s="188">
        <f>PCSAFTA(B6,B8,L20:N20,B16:D16,B17:D17,B18:D18,G15:I17)</f>
        <v>-3.5498978936741588</v>
      </c>
      <c r="S20" s="189" t="s">
        <v>121</v>
      </c>
      <c r="T20" s="181">
        <f>EXP(T13+(T15-1)+M35-(B15*M23+C15*M35+D15*M47)-LN(T15))</f>
        <v>0.56321564210183694</v>
      </c>
      <c r="U20" s="139" t="s">
        <v>119</v>
      </c>
    </row>
    <row r="21" spans="1:21" ht="19.8">
      <c r="A21" s="179"/>
      <c r="B21" s="180"/>
      <c r="C21" s="180"/>
      <c r="D21" s="180"/>
      <c r="E21" s="171"/>
      <c r="F21" s="171"/>
      <c r="G21" s="171"/>
      <c r="H21" s="171"/>
      <c r="I21" s="171"/>
      <c r="S21" s="189" t="s">
        <v>120</v>
      </c>
      <c r="T21" s="181">
        <f>EXP(T13+(T15-1)+M47-(B15*M23+C15*M35+D15*M47)-LN(T15))</f>
        <v>9.0015263024461695E-2</v>
      </c>
      <c r="U21" s="139" t="s">
        <v>119</v>
      </c>
    </row>
    <row r="22" spans="1:21">
      <c r="B22" s="147"/>
      <c r="C22" s="147"/>
      <c r="D22" s="147"/>
    </row>
    <row r="23" spans="1:21">
      <c r="B23" s="180"/>
      <c r="C23" s="180"/>
      <c r="D23" s="180"/>
      <c r="M23" s="181">
        <f>(-O20+8*O19-8*O18+O17)/(12*M14)</f>
        <v>-0.62294109495949113</v>
      </c>
    </row>
    <row r="24" spans="1:21">
      <c r="A24" s="179"/>
      <c r="B24" s="171"/>
      <c r="C24" s="171"/>
      <c r="D24" s="171"/>
      <c r="E24" s="179"/>
      <c r="F24" s="179"/>
      <c r="G24" s="179"/>
      <c r="H24" s="179"/>
      <c r="I24" s="179"/>
    </row>
    <row r="25" spans="1:21">
      <c r="E25" s="179"/>
      <c r="F25" s="179"/>
      <c r="G25" s="179"/>
      <c r="H25" s="179"/>
      <c r="I25" s="179"/>
    </row>
    <row r="26" spans="1:21">
      <c r="L26" s="144" t="s">
        <v>71</v>
      </c>
      <c r="M26" s="140">
        <f>M13*C15</f>
        <v>3.0000000000000001E-5</v>
      </c>
    </row>
    <row r="27" spans="1:21">
      <c r="A27" s="179"/>
      <c r="F27" s="179"/>
      <c r="G27" s="179"/>
      <c r="H27" s="179"/>
      <c r="I27" s="179"/>
      <c r="J27" s="190"/>
    </row>
    <row r="28" spans="1:21" ht="15.6">
      <c r="F28" s="148"/>
      <c r="G28" s="148"/>
      <c r="H28" s="148"/>
      <c r="I28" s="148"/>
      <c r="J28" s="148"/>
      <c r="K28" s="175" t="s">
        <v>70</v>
      </c>
      <c r="L28" s="182" t="s">
        <v>117</v>
      </c>
      <c r="M28" s="182" t="s">
        <v>116</v>
      </c>
      <c r="N28" s="182" t="s">
        <v>115</v>
      </c>
      <c r="O28" s="183"/>
    </row>
    <row r="29" spans="1:21">
      <c r="F29" s="148"/>
      <c r="G29" s="148"/>
      <c r="H29" s="148"/>
      <c r="I29" s="148"/>
      <c r="J29" s="148"/>
      <c r="K29" s="184" t="s">
        <v>72</v>
      </c>
      <c r="L29" s="191">
        <f>B15</f>
        <v>0.1</v>
      </c>
      <c r="M29" s="191">
        <f>C15-2*M26</f>
        <v>0.29993999999999998</v>
      </c>
      <c r="N29" s="191">
        <f>D15</f>
        <v>0.6</v>
      </c>
      <c r="O29" s="186">
        <f>PCSAFTA(B6,B8,L29:N29,B16:D16,B17:D17,B18:D18,G15:I17)</f>
        <v>-3.549697655718997</v>
      </c>
    </row>
    <row r="30" spans="1:21">
      <c r="F30" s="148"/>
      <c r="G30" s="148"/>
      <c r="H30" s="148"/>
      <c r="I30" s="148"/>
      <c r="J30" s="148"/>
      <c r="K30" s="146" t="s">
        <v>73</v>
      </c>
      <c r="L30" s="192">
        <f>L29</f>
        <v>0.1</v>
      </c>
      <c r="M30" s="192">
        <f>C15-M26</f>
        <v>0.29997000000000001</v>
      </c>
      <c r="N30" s="192">
        <f>N29</f>
        <v>0.6</v>
      </c>
      <c r="O30" s="188">
        <f>PCSAFTA(B6,B8,L30:N30,B16:D16,B17:D17,B18:D18,G15:I17)</f>
        <v>-3.5497915490866738</v>
      </c>
    </row>
    <row r="31" spans="1:21" s="171" customFormat="1">
      <c r="A31" s="145"/>
      <c r="B31" s="179"/>
      <c r="C31" s="193"/>
      <c r="D31" s="193"/>
      <c r="E31" s="193"/>
      <c r="F31" s="193"/>
      <c r="G31" s="193"/>
      <c r="H31" s="193"/>
      <c r="I31" s="193"/>
      <c r="J31" s="139"/>
      <c r="K31" s="146" t="s">
        <v>74</v>
      </c>
      <c r="L31" s="192">
        <f t="shared" ref="L31:L32" si="1">L30</f>
        <v>0.1</v>
      </c>
      <c r="M31" s="192">
        <f>C15+M26</f>
        <v>0.30002999999999996</v>
      </c>
      <c r="N31" s="192">
        <f t="shared" ref="N31:N32" si="2">N30</f>
        <v>0.6</v>
      </c>
      <c r="O31" s="188">
        <f>PCSAFTA(B6,B8,L31:N31,B16:D16,B17:D17,B18:D18,G15:I17)</f>
        <v>-3.5499793162534998</v>
      </c>
      <c r="P31" s="194"/>
    </row>
    <row r="32" spans="1:21">
      <c r="A32" s="145"/>
      <c r="B32" s="179"/>
      <c r="C32" s="193"/>
      <c r="D32" s="193"/>
      <c r="E32" s="193"/>
      <c r="F32" s="193"/>
      <c r="G32" s="193"/>
      <c r="H32" s="193"/>
      <c r="I32" s="193"/>
      <c r="K32" s="146" t="s">
        <v>75</v>
      </c>
      <c r="L32" s="192">
        <f t="shared" si="1"/>
        <v>0.1</v>
      </c>
      <c r="M32" s="192">
        <f>C15+2*M26</f>
        <v>0.30005999999999999</v>
      </c>
      <c r="N32" s="192">
        <f t="shared" si="2"/>
        <v>0.6</v>
      </c>
      <c r="O32" s="188">
        <f>PCSAFTA(B6,B8,L32:N32,B16:D16,B17:D17,B18:D18,G15:I17)</f>
        <v>-3.5500731900499645</v>
      </c>
    </row>
    <row r="33" spans="1:15">
      <c r="A33" s="145"/>
      <c r="B33" s="179"/>
      <c r="C33" s="193"/>
      <c r="D33" s="193"/>
      <c r="E33" s="193"/>
      <c r="F33" s="193"/>
      <c r="G33" s="193"/>
      <c r="H33" s="193"/>
      <c r="I33" s="193"/>
      <c r="J33" s="148"/>
    </row>
    <row r="34" spans="1:15">
      <c r="A34" s="145"/>
      <c r="B34" s="179"/>
      <c r="C34" s="193"/>
      <c r="D34" s="193"/>
      <c r="E34" s="193"/>
      <c r="F34" s="193"/>
      <c r="G34" s="193"/>
      <c r="H34" s="193"/>
      <c r="I34" s="193"/>
      <c r="J34" s="148"/>
    </row>
    <row r="35" spans="1:15">
      <c r="A35" s="145"/>
      <c r="B35" s="179"/>
      <c r="C35" s="193"/>
      <c r="D35" s="193"/>
      <c r="E35" s="193"/>
      <c r="F35" s="193"/>
      <c r="G35" s="193"/>
      <c r="H35" s="193"/>
      <c r="I35" s="193"/>
      <c r="J35" s="148"/>
      <c r="M35" s="181">
        <f>(-O32+8*O31-8*O30+O29)/(12*M26)</f>
        <v>-3.129452787890378</v>
      </c>
    </row>
    <row r="36" spans="1:15">
      <c r="A36" s="145"/>
      <c r="B36" s="145"/>
      <c r="C36" s="145"/>
      <c r="D36" s="145"/>
      <c r="J36" s="148"/>
    </row>
    <row r="37" spans="1:15">
      <c r="A37" s="145"/>
      <c r="B37" s="145"/>
      <c r="C37" s="195"/>
      <c r="D37" s="195"/>
      <c r="E37" s="195"/>
      <c r="F37" s="195"/>
      <c r="G37" s="195"/>
      <c r="H37" s="195"/>
      <c r="I37" s="195"/>
      <c r="K37" s="148"/>
      <c r="L37" s="148"/>
    </row>
    <row r="38" spans="1:15">
      <c r="A38" s="145"/>
      <c r="B38" s="145"/>
      <c r="C38" s="195"/>
      <c r="D38" s="195"/>
      <c r="E38" s="195"/>
      <c r="F38" s="195"/>
      <c r="G38" s="195"/>
      <c r="H38" s="195"/>
      <c r="I38" s="195"/>
      <c r="L38" s="144" t="s">
        <v>71</v>
      </c>
      <c r="M38" s="140">
        <f>M13*D15</f>
        <v>6.0000000000000002E-5</v>
      </c>
    </row>
    <row r="39" spans="1:15">
      <c r="A39" s="145"/>
      <c r="B39" s="145"/>
      <c r="C39" s="195"/>
      <c r="D39" s="195"/>
      <c r="E39" s="195"/>
      <c r="F39" s="195"/>
      <c r="G39" s="195"/>
      <c r="H39" s="195"/>
      <c r="I39" s="195"/>
      <c r="J39" s="179"/>
    </row>
    <row r="40" spans="1:15" ht="15.6">
      <c r="A40" s="145"/>
      <c r="B40" s="145"/>
      <c r="C40" s="195"/>
      <c r="D40" s="195"/>
      <c r="E40" s="195"/>
      <c r="F40" s="195"/>
      <c r="G40" s="195"/>
      <c r="H40" s="195"/>
      <c r="I40" s="195"/>
      <c r="J40" s="148"/>
      <c r="K40" s="175" t="s">
        <v>70</v>
      </c>
      <c r="L40" s="182" t="s">
        <v>117</v>
      </c>
      <c r="M40" s="182" t="s">
        <v>116</v>
      </c>
      <c r="N40" s="182" t="s">
        <v>115</v>
      </c>
      <c r="O40" s="183"/>
    </row>
    <row r="41" spans="1:15">
      <c r="A41" s="145"/>
      <c r="B41" s="145"/>
      <c r="C41" s="195"/>
      <c r="D41" s="195"/>
      <c r="E41" s="195"/>
      <c r="F41" s="195"/>
      <c r="G41" s="195"/>
      <c r="H41" s="195"/>
      <c r="I41" s="195"/>
      <c r="J41" s="148"/>
      <c r="K41" s="184" t="s">
        <v>72</v>
      </c>
      <c r="L41" s="191">
        <f>B15</f>
        <v>0.1</v>
      </c>
      <c r="M41" s="191">
        <f>C15</f>
        <v>0.3</v>
      </c>
      <c r="N41" s="191">
        <f>D15-2*M38</f>
        <v>0.59987999999999997</v>
      </c>
      <c r="O41" s="186">
        <f>PCSAFTA(B6,B8,L41:N41,B16:D16,B17:D17,B18:D18,G15:I17)</f>
        <v>-3.5492897776197201</v>
      </c>
    </row>
    <row r="42" spans="1:15">
      <c r="A42" s="145"/>
      <c r="B42" s="145"/>
      <c r="C42" s="195"/>
      <c r="D42" s="195"/>
      <c r="E42" s="195"/>
      <c r="F42" s="195"/>
      <c r="G42" s="195"/>
      <c r="H42" s="195"/>
      <c r="I42" s="195"/>
      <c r="J42" s="148"/>
      <c r="K42" s="146" t="s">
        <v>73</v>
      </c>
      <c r="L42" s="192">
        <f>L41</f>
        <v>0.1</v>
      </c>
      <c r="M42" s="192">
        <f>M41</f>
        <v>0.3</v>
      </c>
      <c r="N42" s="192">
        <f>D15-M38</f>
        <v>0.59994000000000003</v>
      </c>
      <c r="O42" s="188">
        <f>PCSAFTA(B6,B8,L42:N42,B16:D16,B17:D17,B18:D18,G15:I17)</f>
        <v>-3.5495876272659621</v>
      </c>
    </row>
    <row r="43" spans="1:15">
      <c r="A43" s="145"/>
      <c r="B43" s="145"/>
      <c r="C43" s="195"/>
      <c r="D43" s="195"/>
      <c r="E43" s="195"/>
      <c r="F43" s="195"/>
      <c r="G43" s="195"/>
      <c r="H43" s="195"/>
      <c r="I43" s="195"/>
      <c r="K43" s="146" t="s">
        <v>74</v>
      </c>
      <c r="L43" s="192">
        <f t="shared" ref="L43:M44" si="3">L42</f>
        <v>0.1</v>
      </c>
      <c r="M43" s="192">
        <f t="shared" si="3"/>
        <v>0.3</v>
      </c>
      <c r="N43" s="192">
        <f>D15+M38</f>
        <v>0.60005999999999993</v>
      </c>
      <c r="O43" s="188">
        <f>PCSAFTA(B6,B8,L43:N43,B16:D16,B17:D17,B18:D18,G15:I17)</f>
        <v>-3.5501832035918439</v>
      </c>
    </row>
    <row r="44" spans="1:15">
      <c r="A44" s="145"/>
      <c r="B44" s="145"/>
      <c r="C44" s="145"/>
      <c r="D44" s="145"/>
      <c r="K44" s="146" t="s">
        <v>75</v>
      </c>
      <c r="L44" s="192">
        <f t="shared" si="3"/>
        <v>0.1</v>
      </c>
      <c r="M44" s="192">
        <f t="shared" si="3"/>
        <v>0.3</v>
      </c>
      <c r="N44" s="192">
        <f>D15+2*M38</f>
        <v>0.60011999999999999</v>
      </c>
      <c r="O44" s="188">
        <f>PCSAFTA(B6,B8,L44:N44,B16:D16,B17:D17,B18:D18,G15:I17)</f>
        <v>-3.5504809302197584</v>
      </c>
    </row>
    <row r="45" spans="1:15">
      <c r="A45" s="145"/>
      <c r="B45" s="145"/>
      <c r="C45" s="148"/>
      <c r="D45" s="148"/>
      <c r="E45" s="148"/>
      <c r="F45" s="148"/>
      <c r="G45" s="148"/>
      <c r="H45" s="148"/>
      <c r="I45" s="148"/>
      <c r="J45" s="179"/>
    </row>
    <row r="46" spans="1:15">
      <c r="A46" s="145"/>
      <c r="B46" s="145"/>
      <c r="C46" s="148"/>
      <c r="D46" s="148"/>
      <c r="E46" s="148"/>
      <c r="F46" s="148"/>
      <c r="G46" s="148"/>
      <c r="H46" s="148"/>
      <c r="I46" s="148"/>
      <c r="J46" s="148"/>
    </row>
    <row r="47" spans="1:15">
      <c r="A47" s="145"/>
      <c r="B47" s="145"/>
      <c r="C47" s="148"/>
      <c r="D47" s="148"/>
      <c r="E47" s="148"/>
      <c r="F47" s="148"/>
      <c r="G47" s="148"/>
      <c r="H47" s="148"/>
      <c r="I47" s="148"/>
      <c r="J47" s="148"/>
      <c r="M47" s="181">
        <f>(-O44+8*O43-8*O42+O41)/(12*M38)</f>
        <v>-4.9631361208545153</v>
      </c>
    </row>
    <row r="48" spans="1:15">
      <c r="A48" s="145"/>
      <c r="B48" s="145"/>
      <c r="C48" s="148"/>
      <c r="D48" s="148"/>
      <c r="E48" s="148"/>
      <c r="F48" s="148"/>
      <c r="G48" s="148"/>
      <c r="H48" s="148"/>
      <c r="I48" s="148"/>
      <c r="J48" s="148"/>
    </row>
    <row r="49" spans="1:12">
      <c r="A49" s="145"/>
      <c r="B49" s="145"/>
      <c r="C49" s="148"/>
      <c r="D49" s="148"/>
      <c r="E49" s="148"/>
      <c r="F49" s="148"/>
      <c r="G49" s="148"/>
      <c r="H49" s="148"/>
      <c r="I49" s="148"/>
      <c r="K49" s="179"/>
      <c r="L49" s="179"/>
    </row>
    <row r="50" spans="1:12">
      <c r="A50" s="145"/>
      <c r="B50" s="145"/>
      <c r="C50" s="148"/>
      <c r="D50" s="148"/>
      <c r="E50" s="148"/>
      <c r="F50" s="148"/>
      <c r="G50" s="148"/>
      <c r="H50" s="148"/>
      <c r="I50" s="148"/>
    </row>
    <row r="51" spans="1:12">
      <c r="A51" s="145"/>
      <c r="B51" s="145"/>
      <c r="C51" s="148"/>
      <c r="D51" s="148"/>
      <c r="E51" s="148"/>
      <c r="F51" s="148"/>
      <c r="G51" s="148"/>
      <c r="H51" s="148"/>
      <c r="I51" s="148"/>
    </row>
    <row r="52" spans="1:12">
      <c r="A52" s="145"/>
      <c r="B52" s="145"/>
      <c r="C52" s="148"/>
      <c r="D52" s="148"/>
      <c r="E52" s="148"/>
      <c r="F52" s="148"/>
      <c r="G52" s="148"/>
      <c r="H52" s="148"/>
      <c r="I52" s="148"/>
    </row>
    <row r="53" spans="1:12">
      <c r="A53" s="145"/>
      <c r="B53" s="145"/>
      <c r="C53" s="148"/>
      <c r="D53" s="148"/>
      <c r="E53" s="148"/>
      <c r="F53" s="148"/>
      <c r="G53" s="148"/>
      <c r="H53" s="148"/>
      <c r="I53" s="148"/>
    </row>
    <row r="54" spans="1:12">
      <c r="A54" s="145"/>
      <c r="B54" s="145"/>
      <c r="C54" s="145"/>
      <c r="D54" s="145"/>
    </row>
    <row r="55" spans="1:12">
      <c r="A55" s="145"/>
      <c r="B55" s="145"/>
      <c r="C55" s="145"/>
      <c r="D55" s="145"/>
    </row>
    <row r="56" spans="1:12">
      <c r="A56" s="145"/>
      <c r="B56" s="145"/>
      <c r="C56" s="145"/>
      <c r="D56" s="145"/>
    </row>
    <row r="57" spans="1:12">
      <c r="A57" s="145"/>
      <c r="B57" s="145"/>
      <c r="C57" s="145"/>
      <c r="D57" s="145"/>
    </row>
    <row r="58" spans="1:12">
      <c r="A58" s="145"/>
      <c r="B58" s="145"/>
      <c r="C58" s="145"/>
      <c r="D58" s="145"/>
    </row>
    <row r="59" spans="1:12">
      <c r="A59" s="145"/>
      <c r="B59" s="145"/>
      <c r="C59" s="145"/>
      <c r="D59" s="145"/>
    </row>
    <row r="60" spans="1:12">
      <c r="A60" s="145"/>
      <c r="B60" s="145"/>
      <c r="C60" s="145"/>
      <c r="D60" s="145"/>
    </row>
    <row r="61" spans="1:12">
      <c r="A61" s="145"/>
      <c r="B61" s="145"/>
      <c r="C61" s="145"/>
      <c r="D61" s="145"/>
    </row>
    <row r="62" spans="1:12">
      <c r="A62" s="145"/>
      <c r="B62" s="145"/>
      <c r="C62" s="145"/>
      <c r="D62" s="145"/>
    </row>
    <row r="63" spans="1:12">
      <c r="A63" s="145"/>
      <c r="B63" s="145"/>
      <c r="C63" s="145"/>
      <c r="D63" s="145"/>
    </row>
    <row r="64" spans="1:12">
      <c r="A64" s="145"/>
      <c r="B64" s="145"/>
      <c r="C64" s="145"/>
      <c r="D64" s="145"/>
    </row>
    <row r="65" spans="1:4">
      <c r="A65" s="145"/>
      <c r="B65" s="145"/>
      <c r="C65" s="145"/>
      <c r="D65" s="145"/>
    </row>
    <row r="66" spans="1:4">
      <c r="A66" s="145"/>
      <c r="B66" s="145"/>
      <c r="C66" s="145"/>
      <c r="D66" s="145"/>
    </row>
    <row r="67" spans="1:4">
      <c r="A67" s="145"/>
      <c r="B67" s="145"/>
      <c r="C67" s="145"/>
      <c r="D67" s="145"/>
    </row>
    <row r="68" spans="1:4">
      <c r="A68" s="145"/>
      <c r="B68" s="145"/>
      <c r="C68" s="145"/>
      <c r="D68" s="145"/>
    </row>
    <row r="69" spans="1:4">
      <c r="A69" s="145"/>
      <c r="B69" s="145"/>
      <c r="C69" s="145"/>
      <c r="D69" s="145"/>
    </row>
    <row r="70" spans="1:4">
      <c r="A70" s="145"/>
      <c r="B70" s="145"/>
      <c r="C70" s="145"/>
      <c r="D70" s="145"/>
    </row>
    <row r="71" spans="1:4">
      <c r="A71" s="145"/>
      <c r="B71" s="145"/>
      <c r="C71" s="145"/>
      <c r="D71" s="145"/>
    </row>
    <row r="72" spans="1:4">
      <c r="A72" s="145"/>
      <c r="B72" s="145"/>
      <c r="C72" s="145"/>
      <c r="D72" s="145"/>
    </row>
    <row r="73" spans="1:4">
      <c r="A73" s="145"/>
      <c r="B73" s="145"/>
      <c r="C73" s="145"/>
      <c r="D73" s="145"/>
    </row>
    <row r="74" spans="1:4">
      <c r="A74" s="145"/>
      <c r="B74" s="145"/>
      <c r="C74" s="145"/>
      <c r="D74" s="145"/>
    </row>
    <row r="75" spans="1:4">
      <c r="A75" s="145"/>
      <c r="B75" s="145"/>
      <c r="C75" s="145"/>
      <c r="D75" s="145"/>
    </row>
    <row r="76" spans="1:4">
      <c r="A76" s="145"/>
      <c r="B76" s="145"/>
      <c r="C76" s="145"/>
      <c r="D76" s="145"/>
    </row>
    <row r="77" spans="1:4">
      <c r="A77" s="145"/>
      <c r="B77" s="145"/>
      <c r="C77" s="145"/>
      <c r="D77" s="145"/>
    </row>
    <row r="78" spans="1:4">
      <c r="A78" s="145"/>
      <c r="B78" s="145"/>
      <c r="C78" s="145"/>
      <c r="D78" s="145"/>
    </row>
    <row r="79" spans="1:4">
      <c r="A79" s="145"/>
      <c r="B79" s="145"/>
      <c r="C79" s="145"/>
      <c r="D79" s="145"/>
    </row>
    <row r="80" spans="1:4">
      <c r="A80" s="145"/>
      <c r="B80" s="145"/>
      <c r="C80" s="145"/>
      <c r="D80" s="145"/>
    </row>
    <row r="81" spans="1:4">
      <c r="A81" s="145"/>
      <c r="B81" s="145"/>
      <c r="C81" s="145"/>
      <c r="D81" s="145"/>
    </row>
    <row r="82" spans="1:4">
      <c r="A82" s="145"/>
      <c r="B82" s="145"/>
      <c r="C82" s="145"/>
      <c r="D82" s="145"/>
    </row>
    <row r="83" spans="1:4">
      <c r="A83" s="145"/>
      <c r="B83" s="145"/>
      <c r="C83" s="145"/>
      <c r="D83" s="145"/>
    </row>
    <row r="84" spans="1:4">
      <c r="A84" s="145"/>
      <c r="B84" s="145"/>
      <c r="C84" s="145"/>
      <c r="D84" s="145"/>
    </row>
    <row r="85" spans="1:4">
      <c r="A85" s="145"/>
      <c r="B85" s="145"/>
      <c r="C85" s="145"/>
      <c r="D85" s="145"/>
    </row>
    <row r="86" spans="1:4">
      <c r="A86" s="145"/>
      <c r="B86" s="145"/>
      <c r="C86" s="145"/>
      <c r="D86" s="145"/>
    </row>
    <row r="87" spans="1:4">
      <c r="A87" s="145"/>
      <c r="B87" s="145"/>
      <c r="C87" s="145"/>
      <c r="D87" s="145"/>
    </row>
    <row r="88" spans="1:4">
      <c r="A88" s="145"/>
      <c r="B88" s="145"/>
      <c r="C88" s="145"/>
      <c r="D88" s="145"/>
    </row>
    <row r="89" spans="1:4">
      <c r="A89" s="145"/>
      <c r="B89" s="145"/>
      <c r="C89" s="145"/>
      <c r="D89" s="145"/>
    </row>
    <row r="90" spans="1:4">
      <c r="A90" s="145"/>
      <c r="B90" s="145"/>
      <c r="C90" s="145"/>
      <c r="D90" s="145"/>
    </row>
    <row r="91" spans="1:4">
      <c r="A91" s="145"/>
      <c r="B91" s="145"/>
      <c r="C91" s="145"/>
      <c r="D91" s="145"/>
    </row>
    <row r="92" spans="1:4">
      <c r="A92" s="145"/>
      <c r="B92" s="145"/>
      <c r="C92" s="145"/>
      <c r="D92" s="145"/>
    </row>
    <row r="93" spans="1:4">
      <c r="A93" s="145"/>
      <c r="B93" s="145"/>
      <c r="C93" s="145"/>
      <c r="D93" s="145"/>
    </row>
    <row r="94" spans="1:4">
      <c r="A94" s="145"/>
      <c r="B94" s="145"/>
      <c r="C94" s="145"/>
      <c r="D94" s="145"/>
    </row>
    <row r="95" spans="1:4">
      <c r="A95" s="145"/>
      <c r="B95" s="145"/>
      <c r="C95" s="145"/>
      <c r="D95" s="145"/>
    </row>
    <row r="96" spans="1:4">
      <c r="A96" s="145"/>
      <c r="B96" s="145"/>
      <c r="C96" s="145"/>
      <c r="D96" s="145"/>
    </row>
    <row r="97" spans="1:4">
      <c r="A97" s="145"/>
      <c r="B97" s="145"/>
      <c r="C97" s="145"/>
      <c r="D97" s="145"/>
    </row>
    <row r="98" spans="1:4">
      <c r="A98" s="145"/>
      <c r="B98" s="145"/>
      <c r="C98" s="145"/>
      <c r="D98" s="145"/>
    </row>
    <row r="99" spans="1:4">
      <c r="A99" s="145"/>
      <c r="B99" s="145"/>
      <c r="C99" s="145"/>
      <c r="D99" s="145"/>
    </row>
    <row r="100" spans="1:4">
      <c r="A100" s="145"/>
      <c r="B100" s="145"/>
      <c r="C100" s="145"/>
      <c r="D100" s="145"/>
    </row>
    <row r="101" spans="1:4">
      <c r="A101" s="145"/>
      <c r="B101" s="145"/>
      <c r="C101" s="145"/>
      <c r="D101" s="145"/>
    </row>
    <row r="102" spans="1:4">
      <c r="A102" s="145"/>
      <c r="B102" s="145"/>
      <c r="C102" s="145"/>
      <c r="D102" s="145"/>
    </row>
    <row r="103" spans="1:4">
      <c r="A103" s="145"/>
      <c r="B103" s="145"/>
      <c r="C103" s="145"/>
      <c r="D103" s="145"/>
    </row>
    <row r="104" spans="1:4">
      <c r="A104" s="145"/>
      <c r="B104" s="145"/>
      <c r="C104" s="145"/>
      <c r="D104" s="145"/>
    </row>
    <row r="105" spans="1:4">
      <c r="A105" s="145"/>
      <c r="B105" s="145"/>
      <c r="C105" s="145"/>
      <c r="D105" s="145"/>
    </row>
    <row r="106" spans="1:4">
      <c r="A106" s="145"/>
      <c r="B106" s="145"/>
      <c r="C106" s="145"/>
      <c r="D106" s="145"/>
    </row>
    <row r="107" spans="1:4">
      <c r="A107" s="145"/>
      <c r="B107" s="145"/>
      <c r="C107" s="145"/>
      <c r="D107" s="145"/>
    </row>
    <row r="108" spans="1:4">
      <c r="A108" s="145"/>
      <c r="B108" s="145"/>
      <c r="C108" s="145"/>
      <c r="D108" s="145"/>
    </row>
    <row r="109" spans="1:4">
      <c r="A109" s="145"/>
      <c r="B109" s="145"/>
      <c r="C109" s="145"/>
      <c r="D109" s="145"/>
    </row>
    <row r="110" spans="1:4">
      <c r="A110" s="145"/>
      <c r="B110" s="145"/>
      <c r="C110" s="145"/>
      <c r="D110" s="145"/>
    </row>
    <row r="111" spans="1:4">
      <c r="A111" s="145"/>
      <c r="B111" s="145"/>
      <c r="C111" s="145"/>
      <c r="D111" s="145"/>
    </row>
    <row r="112" spans="1:4">
      <c r="A112" s="145"/>
      <c r="B112" s="145"/>
      <c r="C112" s="145"/>
      <c r="D112" s="145"/>
    </row>
    <row r="113" spans="1:4">
      <c r="A113" s="145"/>
      <c r="B113" s="145"/>
      <c r="C113" s="145"/>
      <c r="D113" s="145"/>
    </row>
    <row r="114" spans="1:4">
      <c r="A114" s="145"/>
      <c r="B114" s="145"/>
      <c r="C114" s="145"/>
      <c r="D114" s="145"/>
    </row>
    <row r="115" spans="1:4">
      <c r="A115" s="145"/>
      <c r="B115" s="145"/>
      <c r="C115" s="145"/>
      <c r="D115" s="145"/>
    </row>
    <row r="116" spans="1:4">
      <c r="A116" s="145"/>
      <c r="B116" s="145"/>
      <c r="C116" s="145"/>
      <c r="D116" s="145"/>
    </row>
    <row r="117" spans="1:4">
      <c r="A117" s="145"/>
      <c r="B117" s="145"/>
      <c r="C117" s="145"/>
      <c r="D117" s="145"/>
    </row>
    <row r="118" spans="1:4">
      <c r="A118" s="145"/>
      <c r="B118" s="145"/>
      <c r="C118" s="145"/>
      <c r="D118" s="145"/>
    </row>
    <row r="119" spans="1:4">
      <c r="A119" s="145"/>
      <c r="B119" s="145"/>
      <c r="C119" s="145"/>
      <c r="D119" s="145"/>
    </row>
    <row r="120" spans="1:4">
      <c r="A120" s="145"/>
      <c r="B120" s="145"/>
      <c r="C120" s="145"/>
      <c r="D120" s="145"/>
    </row>
    <row r="121" spans="1:4">
      <c r="A121" s="145"/>
      <c r="B121" s="145"/>
      <c r="C121" s="145"/>
      <c r="D121" s="145"/>
    </row>
    <row r="122" spans="1:4">
      <c r="A122" s="145"/>
      <c r="B122" s="145"/>
      <c r="C122" s="145"/>
      <c r="D122" s="145"/>
    </row>
    <row r="123" spans="1:4">
      <c r="A123" s="145"/>
      <c r="B123" s="145"/>
      <c r="C123" s="145"/>
      <c r="D123" s="145"/>
    </row>
    <row r="124" spans="1:4">
      <c r="A124" s="145"/>
      <c r="B124" s="145"/>
      <c r="C124" s="145"/>
      <c r="D124" s="145"/>
    </row>
    <row r="125" spans="1:4">
      <c r="A125" s="145"/>
      <c r="B125" s="145"/>
      <c r="C125" s="145"/>
      <c r="D125" s="145"/>
    </row>
    <row r="126" spans="1:4">
      <c r="A126" s="145"/>
      <c r="B126" s="145"/>
      <c r="C126" s="145"/>
      <c r="D126" s="145"/>
    </row>
    <row r="127" spans="1:4">
      <c r="A127" s="145"/>
      <c r="B127" s="145"/>
      <c r="C127" s="145"/>
      <c r="D127" s="145"/>
    </row>
    <row r="128" spans="1:4">
      <c r="A128" s="145"/>
      <c r="B128" s="145"/>
      <c r="C128" s="145"/>
      <c r="D128" s="145"/>
    </row>
    <row r="129" spans="1:4">
      <c r="A129" s="145"/>
      <c r="B129" s="145"/>
      <c r="C129" s="145"/>
      <c r="D129" s="145"/>
    </row>
    <row r="130" spans="1:4">
      <c r="A130" s="145"/>
      <c r="B130" s="145"/>
      <c r="C130" s="145"/>
      <c r="D130" s="145"/>
    </row>
    <row r="131" spans="1:4">
      <c r="A131" s="145"/>
      <c r="B131" s="145"/>
      <c r="C131" s="145"/>
      <c r="D131" s="145"/>
    </row>
    <row r="132" spans="1:4">
      <c r="A132" s="145"/>
      <c r="B132" s="145"/>
      <c r="C132" s="145"/>
      <c r="D132" s="145"/>
    </row>
    <row r="133" spans="1:4">
      <c r="A133" s="145"/>
      <c r="B133" s="145"/>
      <c r="C133" s="145"/>
      <c r="D133" s="145"/>
    </row>
    <row r="134" spans="1:4">
      <c r="A134" s="145"/>
      <c r="B134" s="145"/>
      <c r="C134" s="145"/>
      <c r="D134" s="145"/>
    </row>
    <row r="135" spans="1:4">
      <c r="A135" s="145"/>
      <c r="B135" s="145"/>
      <c r="C135" s="145"/>
      <c r="D135" s="145"/>
    </row>
    <row r="136" spans="1:4">
      <c r="A136" s="145"/>
      <c r="B136" s="145"/>
      <c r="C136" s="145"/>
      <c r="D136" s="145"/>
    </row>
    <row r="137" spans="1:4">
      <c r="A137" s="145"/>
      <c r="B137" s="145"/>
      <c r="C137" s="145"/>
      <c r="D137" s="145"/>
    </row>
    <row r="138" spans="1:4">
      <c r="A138" s="145"/>
      <c r="B138" s="145"/>
      <c r="C138" s="145"/>
      <c r="D138" s="145"/>
    </row>
    <row r="139" spans="1:4">
      <c r="A139" s="145"/>
      <c r="B139" s="145"/>
      <c r="C139" s="145"/>
      <c r="D139" s="145"/>
    </row>
    <row r="140" spans="1:4">
      <c r="A140" s="145"/>
      <c r="B140" s="145"/>
      <c r="C140" s="145"/>
      <c r="D140" s="145"/>
    </row>
    <row r="141" spans="1:4">
      <c r="A141" s="145"/>
      <c r="B141" s="145"/>
      <c r="C141" s="145"/>
      <c r="D141" s="145"/>
    </row>
    <row r="142" spans="1:4">
      <c r="A142" s="145"/>
      <c r="B142" s="145"/>
      <c r="C142" s="145"/>
      <c r="D142" s="145"/>
    </row>
    <row r="143" spans="1:4">
      <c r="A143" s="145"/>
      <c r="B143" s="145"/>
      <c r="C143" s="145"/>
      <c r="D143" s="145"/>
    </row>
    <row r="144" spans="1:4">
      <c r="A144" s="145"/>
      <c r="B144" s="145"/>
      <c r="C144" s="145"/>
      <c r="D144" s="145"/>
    </row>
    <row r="145" spans="1:4">
      <c r="A145" s="145"/>
      <c r="B145" s="145"/>
      <c r="C145" s="145"/>
      <c r="D145" s="145"/>
    </row>
    <row r="146" spans="1:4">
      <c r="A146" s="145"/>
      <c r="B146" s="145"/>
      <c r="C146" s="145"/>
      <c r="D146" s="145"/>
    </row>
    <row r="147" spans="1:4">
      <c r="A147" s="145"/>
      <c r="B147" s="145"/>
      <c r="C147" s="145"/>
      <c r="D147" s="145"/>
    </row>
    <row r="148" spans="1:4">
      <c r="A148" s="145"/>
      <c r="B148" s="145"/>
      <c r="C148" s="145"/>
      <c r="D148" s="145"/>
    </row>
    <row r="149" spans="1:4">
      <c r="A149" s="145"/>
      <c r="B149" s="145"/>
      <c r="C149" s="145"/>
      <c r="D149" s="145"/>
    </row>
    <row r="150" spans="1:4">
      <c r="A150" s="145"/>
      <c r="B150" s="145"/>
      <c r="C150" s="145"/>
      <c r="D150" s="145"/>
    </row>
    <row r="151" spans="1:4">
      <c r="A151" s="145"/>
      <c r="B151" s="145"/>
      <c r="C151" s="145"/>
      <c r="D151" s="145"/>
    </row>
    <row r="152" spans="1:4">
      <c r="A152" s="145"/>
      <c r="B152" s="145"/>
      <c r="C152" s="145"/>
      <c r="D152" s="145"/>
    </row>
    <row r="153" spans="1:4">
      <c r="A153" s="145"/>
      <c r="B153" s="145"/>
      <c r="C153" s="145"/>
      <c r="D153" s="145"/>
    </row>
    <row r="154" spans="1:4">
      <c r="A154" s="145"/>
      <c r="B154" s="145"/>
      <c r="C154" s="145"/>
      <c r="D154" s="145"/>
    </row>
    <row r="155" spans="1:4">
      <c r="A155" s="145"/>
      <c r="B155" s="145"/>
      <c r="C155" s="145"/>
      <c r="D155" s="145"/>
    </row>
    <row r="156" spans="1:4">
      <c r="A156" s="145"/>
      <c r="B156" s="145"/>
      <c r="C156" s="145"/>
      <c r="D156" s="145"/>
    </row>
    <row r="157" spans="1:4">
      <c r="A157" s="145"/>
      <c r="B157" s="145"/>
      <c r="C157" s="145"/>
      <c r="D157" s="145"/>
    </row>
    <row r="158" spans="1:4">
      <c r="A158" s="145"/>
      <c r="B158" s="145"/>
      <c r="C158" s="145"/>
      <c r="D158" s="145"/>
    </row>
    <row r="159" spans="1:4">
      <c r="A159" s="145"/>
      <c r="B159" s="145"/>
      <c r="C159" s="145"/>
      <c r="D159" s="145"/>
    </row>
    <row r="160" spans="1:4">
      <c r="A160" s="145"/>
      <c r="B160" s="145"/>
      <c r="C160" s="145"/>
      <c r="D160" s="145"/>
    </row>
    <row r="161" spans="1:4">
      <c r="A161" s="145"/>
      <c r="B161" s="145"/>
      <c r="C161" s="145"/>
      <c r="D161" s="145"/>
    </row>
    <row r="162" spans="1:4">
      <c r="A162" s="145"/>
      <c r="B162" s="145"/>
      <c r="C162" s="145"/>
      <c r="D162" s="145"/>
    </row>
    <row r="163" spans="1:4">
      <c r="A163" s="145"/>
      <c r="B163" s="145"/>
      <c r="C163" s="145"/>
      <c r="D163" s="145"/>
    </row>
    <row r="164" spans="1:4">
      <c r="A164" s="145"/>
      <c r="B164" s="145"/>
      <c r="C164" s="145"/>
      <c r="D164" s="145"/>
    </row>
    <row r="165" spans="1:4">
      <c r="A165" s="145"/>
      <c r="B165" s="145"/>
      <c r="C165" s="145"/>
      <c r="D165" s="145"/>
    </row>
    <row r="166" spans="1:4">
      <c r="A166" s="145"/>
      <c r="B166" s="145"/>
      <c r="C166" s="145"/>
      <c r="D166" s="145"/>
    </row>
    <row r="167" spans="1:4">
      <c r="A167" s="145"/>
      <c r="B167" s="145"/>
      <c r="C167" s="145"/>
      <c r="D167" s="145"/>
    </row>
    <row r="168" spans="1:4">
      <c r="A168" s="145"/>
      <c r="B168" s="145"/>
      <c r="C168" s="145"/>
      <c r="D168" s="145"/>
    </row>
    <row r="169" spans="1:4">
      <c r="A169" s="145"/>
      <c r="B169" s="145"/>
      <c r="C169" s="145"/>
      <c r="D169" s="145"/>
    </row>
    <row r="170" spans="1:4">
      <c r="A170" s="145"/>
      <c r="B170" s="145"/>
      <c r="C170" s="145"/>
      <c r="D170" s="145"/>
    </row>
    <row r="171" spans="1:4">
      <c r="A171" s="145"/>
      <c r="B171" s="145"/>
      <c r="C171" s="145"/>
      <c r="D171" s="145"/>
    </row>
    <row r="172" spans="1:4">
      <c r="A172" s="145"/>
      <c r="B172" s="145"/>
      <c r="C172" s="145"/>
      <c r="D172" s="145"/>
    </row>
    <row r="173" spans="1:4">
      <c r="A173" s="145"/>
      <c r="B173" s="145"/>
      <c r="C173" s="145"/>
      <c r="D173" s="145"/>
    </row>
    <row r="174" spans="1:4">
      <c r="A174" s="145"/>
      <c r="B174" s="145"/>
      <c r="C174" s="145"/>
      <c r="D174" s="145"/>
    </row>
    <row r="175" spans="1:4">
      <c r="A175" s="145"/>
      <c r="B175" s="145"/>
      <c r="C175" s="145"/>
      <c r="D175" s="145"/>
    </row>
    <row r="176" spans="1:4">
      <c r="A176" s="145"/>
      <c r="B176" s="145"/>
      <c r="C176" s="145"/>
      <c r="D176" s="145"/>
    </row>
    <row r="177" spans="1:4">
      <c r="A177" s="145"/>
      <c r="B177" s="145"/>
      <c r="C177" s="145"/>
      <c r="D177" s="145"/>
    </row>
    <row r="178" spans="1:4">
      <c r="A178" s="145"/>
      <c r="B178" s="145"/>
      <c r="C178" s="145"/>
      <c r="D178" s="145"/>
    </row>
    <row r="179" spans="1:4">
      <c r="A179" s="145"/>
      <c r="B179" s="145"/>
      <c r="C179" s="145"/>
      <c r="D179" s="145"/>
    </row>
    <row r="180" spans="1:4">
      <c r="A180" s="145"/>
      <c r="B180" s="145"/>
      <c r="C180" s="145"/>
      <c r="D180" s="145"/>
    </row>
    <row r="181" spans="1:4">
      <c r="A181" s="145"/>
      <c r="B181" s="145"/>
      <c r="C181" s="145"/>
      <c r="D181" s="145"/>
    </row>
    <row r="182" spans="1:4">
      <c r="A182" s="145"/>
      <c r="B182" s="145"/>
      <c r="C182" s="145"/>
      <c r="D182" s="145"/>
    </row>
    <row r="183" spans="1:4">
      <c r="A183" s="145"/>
      <c r="B183" s="145"/>
      <c r="C183" s="145"/>
      <c r="D183" s="145"/>
    </row>
    <row r="184" spans="1:4">
      <c r="A184" s="145"/>
      <c r="B184" s="145"/>
      <c r="C184" s="145"/>
      <c r="D184" s="145"/>
    </row>
    <row r="185" spans="1:4">
      <c r="A185" s="145"/>
      <c r="B185" s="145"/>
      <c r="C185" s="145"/>
      <c r="D185" s="145"/>
    </row>
    <row r="186" spans="1:4">
      <c r="A186" s="145"/>
      <c r="B186" s="145"/>
      <c r="C186" s="145"/>
      <c r="D186" s="145"/>
    </row>
    <row r="187" spans="1:4">
      <c r="A187" s="145"/>
      <c r="B187" s="145"/>
      <c r="C187" s="145"/>
      <c r="D187" s="145"/>
    </row>
    <row r="188" spans="1:4">
      <c r="A188" s="145"/>
      <c r="B188" s="145"/>
      <c r="C188" s="145"/>
      <c r="D188" s="145"/>
    </row>
    <row r="189" spans="1:4">
      <c r="A189" s="145"/>
      <c r="B189" s="145"/>
      <c r="C189" s="145"/>
      <c r="D189" s="145"/>
    </row>
    <row r="190" spans="1:4">
      <c r="A190" s="145"/>
      <c r="B190" s="145"/>
      <c r="C190" s="145"/>
      <c r="D190" s="145"/>
    </row>
    <row r="191" spans="1:4">
      <c r="A191" s="145"/>
      <c r="B191" s="145"/>
      <c r="C191" s="145"/>
      <c r="D191" s="145"/>
    </row>
    <row r="192" spans="1:4">
      <c r="A192" s="145"/>
      <c r="B192" s="145"/>
      <c r="C192" s="145"/>
      <c r="D192" s="145"/>
    </row>
    <row r="193" spans="1:4">
      <c r="A193" s="145"/>
      <c r="B193" s="145"/>
      <c r="C193" s="145"/>
      <c r="D193" s="145"/>
    </row>
    <row r="194" spans="1:4">
      <c r="A194" s="145"/>
      <c r="B194" s="145"/>
      <c r="C194" s="145"/>
      <c r="D194" s="145"/>
    </row>
    <row r="195" spans="1:4">
      <c r="A195" s="145"/>
      <c r="B195" s="145"/>
      <c r="C195" s="145"/>
      <c r="D195" s="145"/>
    </row>
    <row r="196" spans="1:4">
      <c r="A196" s="145"/>
      <c r="B196" s="145"/>
      <c r="C196" s="145"/>
      <c r="D196" s="145"/>
    </row>
    <row r="197" spans="1:4">
      <c r="A197" s="145"/>
      <c r="B197" s="145"/>
      <c r="C197" s="145"/>
      <c r="D197" s="145"/>
    </row>
    <row r="198" spans="1:4">
      <c r="A198" s="145"/>
      <c r="B198" s="145"/>
      <c r="C198" s="145"/>
      <c r="D198" s="145"/>
    </row>
    <row r="199" spans="1:4">
      <c r="A199" s="145"/>
      <c r="B199" s="145"/>
      <c r="C199" s="145"/>
      <c r="D199" s="145"/>
    </row>
    <row r="200" spans="1:4">
      <c r="A200" s="145"/>
      <c r="B200" s="145"/>
      <c r="C200" s="145"/>
      <c r="D200" s="145"/>
    </row>
    <row r="201" spans="1:4">
      <c r="A201" s="145"/>
      <c r="B201" s="145"/>
      <c r="C201" s="145"/>
      <c r="D201" s="145"/>
    </row>
    <row r="202" spans="1:4">
      <c r="A202" s="145"/>
      <c r="B202" s="145"/>
      <c r="C202" s="145"/>
      <c r="D202" s="145"/>
    </row>
    <row r="203" spans="1:4">
      <c r="A203" s="145"/>
      <c r="B203" s="145"/>
      <c r="C203" s="145"/>
      <c r="D203" s="145"/>
    </row>
    <row r="204" spans="1:4">
      <c r="A204" s="145"/>
      <c r="B204" s="145"/>
      <c r="C204" s="145"/>
      <c r="D204" s="145"/>
    </row>
    <row r="205" spans="1:4">
      <c r="A205" s="145"/>
      <c r="B205" s="145"/>
      <c r="C205" s="145"/>
      <c r="D205" s="145"/>
    </row>
    <row r="206" spans="1:4">
      <c r="A206" s="145"/>
      <c r="B206" s="145"/>
      <c r="C206" s="145"/>
      <c r="D206" s="145"/>
    </row>
    <row r="207" spans="1:4">
      <c r="A207" s="145"/>
      <c r="B207" s="145"/>
      <c r="C207" s="145"/>
      <c r="D207" s="145"/>
    </row>
    <row r="208" spans="1:4">
      <c r="A208" s="145"/>
      <c r="B208" s="145"/>
      <c r="C208" s="145"/>
      <c r="D208" s="145"/>
    </row>
    <row r="209" spans="1:4">
      <c r="A209" s="145"/>
      <c r="B209" s="145"/>
      <c r="C209" s="145"/>
      <c r="D209" s="145"/>
    </row>
    <row r="210" spans="1:4">
      <c r="A210" s="145"/>
      <c r="B210" s="145"/>
      <c r="C210" s="145"/>
      <c r="D210" s="145"/>
    </row>
    <row r="211" spans="1:4">
      <c r="A211" s="145"/>
      <c r="B211" s="145"/>
      <c r="C211" s="145"/>
      <c r="D211" s="145"/>
    </row>
    <row r="212" spans="1:4">
      <c r="A212" s="145"/>
      <c r="B212" s="145"/>
      <c r="C212" s="145"/>
      <c r="D212" s="145"/>
    </row>
    <row r="213" spans="1:4">
      <c r="A213" s="145"/>
      <c r="B213" s="145"/>
      <c r="C213" s="145"/>
      <c r="D213" s="145"/>
    </row>
    <row r="214" spans="1:4">
      <c r="A214" s="145"/>
      <c r="B214" s="145"/>
      <c r="C214" s="145"/>
      <c r="D214" s="145"/>
    </row>
    <row r="215" spans="1:4">
      <c r="A215" s="145"/>
      <c r="B215" s="145"/>
      <c r="C215" s="145"/>
      <c r="D215" s="145"/>
    </row>
    <row r="216" spans="1:4">
      <c r="A216" s="145"/>
      <c r="B216" s="145"/>
      <c r="C216" s="145"/>
      <c r="D216" s="145"/>
    </row>
    <row r="217" spans="1:4">
      <c r="A217" s="145"/>
      <c r="B217" s="145"/>
      <c r="C217" s="145"/>
      <c r="D217" s="145"/>
    </row>
    <row r="218" spans="1:4">
      <c r="A218" s="145"/>
      <c r="B218" s="145"/>
      <c r="C218" s="145"/>
      <c r="D218" s="145"/>
    </row>
    <row r="219" spans="1:4">
      <c r="A219" s="145"/>
      <c r="B219" s="145"/>
      <c r="C219" s="145"/>
      <c r="D219" s="145"/>
    </row>
    <row r="220" spans="1:4">
      <c r="A220" s="145"/>
      <c r="B220" s="145"/>
      <c r="C220" s="145"/>
      <c r="D220" s="145"/>
    </row>
    <row r="221" spans="1:4">
      <c r="A221" s="145"/>
      <c r="B221" s="145"/>
      <c r="C221" s="145"/>
      <c r="D221" s="145"/>
    </row>
    <row r="222" spans="1:4">
      <c r="A222" s="145"/>
      <c r="B222" s="145"/>
      <c r="C222" s="145"/>
      <c r="D222" s="145"/>
    </row>
    <row r="223" spans="1:4">
      <c r="A223" s="145"/>
      <c r="B223" s="145"/>
      <c r="C223" s="145"/>
      <c r="D223" s="145"/>
    </row>
    <row r="224" spans="1:4">
      <c r="A224" s="145"/>
      <c r="B224" s="145"/>
      <c r="C224" s="145"/>
      <c r="D224" s="145"/>
    </row>
    <row r="225" spans="1:4">
      <c r="A225" s="145"/>
      <c r="B225" s="145"/>
      <c r="C225" s="145"/>
      <c r="D225" s="145"/>
    </row>
    <row r="226" spans="1:4">
      <c r="A226" s="145"/>
      <c r="B226" s="145"/>
      <c r="C226" s="145"/>
      <c r="D226" s="145"/>
    </row>
    <row r="227" spans="1:4">
      <c r="A227" s="145"/>
      <c r="B227" s="145"/>
      <c r="C227" s="145"/>
      <c r="D227" s="145"/>
    </row>
    <row r="228" spans="1:4">
      <c r="A228" s="145"/>
      <c r="B228" s="145"/>
      <c r="C228" s="145"/>
      <c r="D228" s="145"/>
    </row>
    <row r="229" spans="1:4">
      <c r="A229" s="145"/>
      <c r="B229" s="145"/>
      <c r="C229" s="145"/>
      <c r="D229" s="145"/>
    </row>
    <row r="230" spans="1:4">
      <c r="A230" s="145"/>
      <c r="B230" s="145"/>
      <c r="C230" s="145"/>
      <c r="D230" s="145"/>
    </row>
    <row r="231" spans="1:4">
      <c r="A231" s="145"/>
      <c r="B231" s="145"/>
      <c r="C231" s="145"/>
      <c r="D231" s="145"/>
    </row>
    <row r="232" spans="1:4">
      <c r="A232" s="145"/>
      <c r="B232" s="145"/>
      <c r="C232" s="145"/>
      <c r="D232" s="145"/>
    </row>
    <row r="233" spans="1:4">
      <c r="A233" s="145"/>
      <c r="B233" s="145"/>
      <c r="C233" s="145"/>
      <c r="D233" s="145"/>
    </row>
    <row r="234" spans="1:4">
      <c r="A234" s="145"/>
      <c r="B234" s="145"/>
      <c r="C234" s="145"/>
      <c r="D234" s="145"/>
    </row>
    <row r="235" spans="1:4">
      <c r="A235" s="145"/>
      <c r="B235" s="145"/>
      <c r="C235" s="145"/>
      <c r="D235" s="145"/>
    </row>
    <row r="236" spans="1:4">
      <c r="A236" s="145"/>
      <c r="B236" s="145"/>
      <c r="C236" s="145"/>
      <c r="D236" s="145"/>
    </row>
    <row r="237" spans="1:4">
      <c r="A237" s="145"/>
      <c r="B237" s="145"/>
      <c r="C237" s="145"/>
      <c r="D237" s="145"/>
    </row>
    <row r="238" spans="1:4">
      <c r="A238" s="145"/>
      <c r="B238" s="145"/>
      <c r="C238" s="145"/>
      <c r="D238" s="145"/>
    </row>
    <row r="239" spans="1:4">
      <c r="A239" s="145"/>
      <c r="B239" s="145"/>
      <c r="C239" s="145"/>
      <c r="D239" s="145"/>
    </row>
    <row r="240" spans="1:4">
      <c r="A240" s="145"/>
      <c r="B240" s="145"/>
      <c r="C240" s="145"/>
      <c r="D240" s="145"/>
    </row>
    <row r="241" spans="1:4">
      <c r="A241" s="145"/>
      <c r="B241" s="145"/>
      <c r="C241" s="145"/>
      <c r="D241" s="145"/>
    </row>
    <row r="242" spans="1:4">
      <c r="A242" s="145"/>
      <c r="B242" s="145"/>
      <c r="C242" s="145"/>
      <c r="D242" s="145"/>
    </row>
    <row r="243" spans="1:4">
      <c r="A243" s="145"/>
      <c r="B243" s="145"/>
      <c r="C243" s="145"/>
      <c r="D243" s="145"/>
    </row>
    <row r="244" spans="1:4">
      <c r="A244" s="145"/>
      <c r="B244" s="145"/>
      <c r="C244" s="145"/>
      <c r="D244" s="145"/>
    </row>
    <row r="245" spans="1:4">
      <c r="A245" s="145"/>
      <c r="B245" s="145"/>
      <c r="C245" s="145"/>
      <c r="D245" s="145"/>
    </row>
    <row r="246" spans="1:4">
      <c r="A246" s="145"/>
      <c r="B246" s="145"/>
      <c r="C246" s="145"/>
      <c r="D246" s="145"/>
    </row>
    <row r="247" spans="1:4">
      <c r="A247" s="145"/>
      <c r="B247" s="145"/>
      <c r="C247" s="145"/>
      <c r="D247" s="145"/>
    </row>
    <row r="248" spans="1:4">
      <c r="A248" s="145"/>
      <c r="B248" s="145"/>
      <c r="C248" s="145"/>
      <c r="D248" s="145"/>
    </row>
    <row r="249" spans="1:4">
      <c r="A249" s="145"/>
      <c r="B249" s="145"/>
      <c r="C249" s="145"/>
      <c r="D249" s="145"/>
    </row>
    <row r="250" spans="1:4">
      <c r="A250" s="145"/>
      <c r="B250" s="145"/>
      <c r="C250" s="145"/>
      <c r="D250" s="145"/>
    </row>
    <row r="251" spans="1:4">
      <c r="A251" s="145"/>
      <c r="B251" s="145"/>
      <c r="C251" s="145"/>
      <c r="D251" s="145"/>
    </row>
    <row r="252" spans="1:4">
      <c r="A252" s="145"/>
      <c r="B252" s="145"/>
      <c r="C252" s="145"/>
      <c r="D252" s="145"/>
    </row>
    <row r="253" spans="1:4">
      <c r="A253" s="145"/>
      <c r="B253" s="145"/>
      <c r="C253" s="145"/>
      <c r="D253" s="145"/>
    </row>
    <row r="254" spans="1:4">
      <c r="A254" s="145"/>
      <c r="B254" s="145"/>
      <c r="C254" s="145"/>
      <c r="D254" s="145"/>
    </row>
    <row r="255" spans="1:4">
      <c r="A255" s="145"/>
      <c r="B255" s="145"/>
      <c r="C255" s="145"/>
      <c r="D255" s="145"/>
    </row>
    <row r="256" spans="1:4">
      <c r="A256" s="145"/>
      <c r="B256" s="145"/>
      <c r="C256" s="145"/>
      <c r="D256" s="145"/>
    </row>
    <row r="257" spans="1:4">
      <c r="A257" s="145"/>
      <c r="B257" s="145"/>
      <c r="C257" s="145"/>
      <c r="D257" s="145"/>
    </row>
    <row r="258" spans="1:4">
      <c r="A258" s="145"/>
      <c r="B258" s="145"/>
      <c r="C258" s="145"/>
      <c r="D258" s="145"/>
    </row>
    <row r="259" spans="1:4">
      <c r="A259" s="145"/>
      <c r="B259" s="145"/>
      <c r="C259" s="145"/>
      <c r="D259" s="145"/>
    </row>
    <row r="260" spans="1:4">
      <c r="A260" s="145"/>
      <c r="B260" s="145"/>
      <c r="C260" s="145"/>
      <c r="D260" s="145"/>
    </row>
    <row r="261" spans="1:4">
      <c r="A261" s="145"/>
      <c r="B261" s="145"/>
      <c r="C261" s="145"/>
      <c r="D261" s="145"/>
    </row>
    <row r="262" spans="1:4">
      <c r="A262" s="145"/>
      <c r="B262" s="145"/>
      <c r="C262" s="145"/>
      <c r="D262" s="145"/>
    </row>
    <row r="263" spans="1:4">
      <c r="A263" s="145"/>
      <c r="B263" s="145"/>
      <c r="C263" s="145"/>
      <c r="D263" s="145"/>
    </row>
    <row r="264" spans="1:4">
      <c r="A264" s="145"/>
      <c r="B264" s="145"/>
      <c r="C264" s="145"/>
      <c r="D264" s="145"/>
    </row>
    <row r="265" spans="1:4">
      <c r="A265" s="145"/>
      <c r="B265" s="145"/>
      <c r="C265" s="145"/>
      <c r="D265" s="145"/>
    </row>
    <row r="266" spans="1:4">
      <c r="A266" s="145"/>
      <c r="B266" s="145"/>
      <c r="C266" s="145"/>
      <c r="D266" s="145"/>
    </row>
    <row r="267" spans="1:4">
      <c r="A267" s="145"/>
      <c r="B267" s="145"/>
      <c r="C267" s="145"/>
      <c r="D267" s="145"/>
    </row>
    <row r="268" spans="1:4">
      <c r="A268" s="145"/>
      <c r="B268" s="145"/>
      <c r="C268" s="145"/>
      <c r="D268" s="145"/>
    </row>
    <row r="269" spans="1:4">
      <c r="A269" s="145"/>
      <c r="B269" s="145"/>
      <c r="C269" s="145"/>
      <c r="D269" s="145"/>
    </row>
    <row r="270" spans="1:4">
      <c r="A270" s="145"/>
      <c r="B270" s="145"/>
      <c r="C270" s="145"/>
      <c r="D270" s="145"/>
    </row>
    <row r="271" spans="1:4">
      <c r="A271" s="145"/>
      <c r="B271" s="145"/>
      <c r="C271" s="145"/>
      <c r="D271" s="145"/>
    </row>
    <row r="272" spans="1:4">
      <c r="A272" s="145"/>
      <c r="B272" s="145"/>
      <c r="C272" s="145"/>
      <c r="D272" s="145"/>
    </row>
    <row r="273" spans="1:4">
      <c r="A273" s="145"/>
      <c r="B273" s="145"/>
      <c r="C273" s="145"/>
      <c r="D273" s="145"/>
    </row>
    <row r="274" spans="1:4">
      <c r="A274" s="145"/>
      <c r="B274" s="145"/>
      <c r="C274" s="145"/>
      <c r="D274" s="145"/>
    </row>
    <row r="275" spans="1:4">
      <c r="A275" s="145"/>
      <c r="B275" s="145"/>
      <c r="C275" s="145"/>
      <c r="D275" s="145"/>
    </row>
    <row r="276" spans="1:4">
      <c r="A276" s="145"/>
      <c r="B276" s="145"/>
      <c r="C276" s="145"/>
      <c r="D276" s="145"/>
    </row>
    <row r="277" spans="1:4">
      <c r="A277" s="145"/>
      <c r="B277" s="145"/>
      <c r="C277" s="145"/>
      <c r="D277" s="145"/>
    </row>
    <row r="278" spans="1:4">
      <c r="A278" s="145"/>
      <c r="B278" s="145"/>
      <c r="C278" s="145"/>
      <c r="D278" s="145"/>
    </row>
    <row r="279" spans="1:4">
      <c r="A279" s="145"/>
      <c r="B279" s="145"/>
      <c r="C279" s="145"/>
      <c r="D279" s="145"/>
    </row>
    <row r="280" spans="1:4">
      <c r="A280" s="145"/>
      <c r="B280" s="145"/>
      <c r="C280" s="145"/>
      <c r="D280" s="145"/>
    </row>
    <row r="281" spans="1:4">
      <c r="A281" s="145"/>
      <c r="B281" s="145"/>
      <c r="C281" s="145"/>
      <c r="D281" s="145"/>
    </row>
    <row r="282" spans="1:4">
      <c r="A282" s="145"/>
      <c r="B282" s="145"/>
      <c r="C282" s="145"/>
      <c r="D282" s="145"/>
    </row>
    <row r="283" spans="1:4">
      <c r="A283" s="145"/>
      <c r="B283" s="145"/>
      <c r="C283" s="145"/>
      <c r="D283" s="145"/>
    </row>
    <row r="284" spans="1:4">
      <c r="A284" s="145"/>
      <c r="B284" s="145"/>
      <c r="C284" s="145"/>
      <c r="D284" s="145"/>
    </row>
    <row r="285" spans="1:4">
      <c r="A285" s="145"/>
      <c r="B285" s="145"/>
      <c r="C285" s="145"/>
      <c r="D285" s="145"/>
    </row>
    <row r="286" spans="1:4">
      <c r="A286" s="145"/>
      <c r="B286" s="145"/>
      <c r="C286" s="145"/>
      <c r="D286" s="145"/>
    </row>
    <row r="287" spans="1:4">
      <c r="A287" s="145"/>
      <c r="B287" s="145"/>
      <c r="C287" s="145"/>
      <c r="D287" s="145"/>
    </row>
    <row r="288" spans="1:4">
      <c r="A288" s="145"/>
      <c r="B288" s="145"/>
      <c r="C288" s="145"/>
      <c r="D288" s="145"/>
    </row>
    <row r="289" spans="1:4">
      <c r="A289" s="145"/>
      <c r="B289" s="145"/>
      <c r="C289" s="145"/>
      <c r="D289" s="145"/>
    </row>
    <row r="290" spans="1:4">
      <c r="A290" s="145"/>
      <c r="B290" s="145"/>
      <c r="C290" s="145"/>
      <c r="D290" s="145"/>
    </row>
    <row r="291" spans="1:4">
      <c r="A291" s="145"/>
      <c r="B291" s="145"/>
      <c r="C291" s="145"/>
      <c r="D291" s="145"/>
    </row>
    <row r="292" spans="1:4">
      <c r="A292" s="145"/>
      <c r="B292" s="145"/>
      <c r="C292" s="145"/>
      <c r="D292" s="145"/>
    </row>
    <row r="293" spans="1:4">
      <c r="A293" s="145"/>
      <c r="B293" s="145"/>
      <c r="C293" s="145"/>
      <c r="D293" s="145"/>
    </row>
    <row r="294" spans="1:4">
      <c r="A294" s="145"/>
      <c r="B294" s="145"/>
      <c r="C294" s="145"/>
      <c r="D294" s="145"/>
    </row>
    <row r="295" spans="1:4">
      <c r="A295" s="145"/>
      <c r="B295" s="145"/>
      <c r="C295" s="145"/>
      <c r="D295" s="145"/>
    </row>
    <row r="296" spans="1:4">
      <c r="A296" s="145"/>
      <c r="B296" s="145"/>
      <c r="C296" s="145"/>
      <c r="D296" s="145"/>
    </row>
    <row r="297" spans="1:4">
      <c r="A297" s="145"/>
      <c r="B297" s="145"/>
      <c r="C297" s="145"/>
      <c r="D297" s="145"/>
    </row>
    <row r="298" spans="1:4">
      <c r="A298" s="145"/>
      <c r="B298" s="145"/>
      <c r="C298" s="145"/>
      <c r="D298" s="145"/>
    </row>
    <row r="299" spans="1:4">
      <c r="A299" s="145"/>
      <c r="B299" s="145"/>
      <c r="C299" s="145"/>
      <c r="D299" s="145"/>
    </row>
    <row r="300" spans="1:4">
      <c r="A300" s="145"/>
      <c r="B300" s="145"/>
      <c r="C300" s="145"/>
      <c r="D300" s="145"/>
    </row>
    <row r="301" spans="1:4">
      <c r="A301" s="145"/>
      <c r="B301" s="145"/>
      <c r="C301" s="145"/>
      <c r="D301" s="145"/>
    </row>
    <row r="302" spans="1:4">
      <c r="A302" s="145"/>
      <c r="B302" s="145"/>
      <c r="C302" s="145"/>
      <c r="D302" s="145"/>
    </row>
    <row r="303" spans="1:4">
      <c r="A303" s="145"/>
      <c r="B303" s="145"/>
      <c r="C303" s="145"/>
      <c r="D303" s="145"/>
    </row>
    <row r="304" spans="1:4">
      <c r="A304" s="145"/>
      <c r="B304" s="145"/>
      <c r="C304" s="145"/>
      <c r="D304" s="145"/>
    </row>
    <row r="305" spans="1:4">
      <c r="A305" s="145"/>
      <c r="B305" s="145"/>
      <c r="C305" s="145"/>
      <c r="D305" s="145"/>
    </row>
    <row r="306" spans="1:4">
      <c r="A306" s="145"/>
      <c r="B306" s="145"/>
      <c r="C306" s="145"/>
      <c r="D306" s="145"/>
    </row>
    <row r="307" spans="1:4">
      <c r="A307" s="145"/>
      <c r="B307" s="145"/>
      <c r="C307" s="145"/>
      <c r="D307" s="145"/>
    </row>
    <row r="308" spans="1:4">
      <c r="A308" s="145"/>
      <c r="B308" s="145"/>
      <c r="C308" s="145"/>
      <c r="D308" s="145"/>
    </row>
    <row r="309" spans="1:4">
      <c r="A309" s="145"/>
      <c r="B309" s="145"/>
      <c r="C309" s="145"/>
      <c r="D309" s="145"/>
    </row>
    <row r="310" spans="1:4">
      <c r="A310" s="145"/>
      <c r="B310" s="145"/>
      <c r="C310" s="145"/>
      <c r="D310" s="145"/>
    </row>
    <row r="311" spans="1:4">
      <c r="A311" s="145"/>
      <c r="B311" s="145"/>
      <c r="C311" s="145"/>
      <c r="D311" s="145"/>
    </row>
    <row r="312" spans="1:4">
      <c r="A312" s="145"/>
      <c r="B312" s="145"/>
      <c r="C312" s="145"/>
      <c r="D312" s="145"/>
    </row>
    <row r="313" spans="1:4">
      <c r="A313" s="145"/>
      <c r="B313" s="145"/>
      <c r="C313" s="145"/>
      <c r="D313" s="145"/>
    </row>
    <row r="314" spans="1:4">
      <c r="A314" s="145"/>
      <c r="B314" s="145"/>
      <c r="C314" s="145"/>
      <c r="D314" s="145"/>
    </row>
    <row r="315" spans="1:4">
      <c r="A315" s="145"/>
      <c r="B315" s="145"/>
      <c r="C315" s="145"/>
      <c r="D315" s="145"/>
    </row>
    <row r="316" spans="1:4">
      <c r="A316" s="145"/>
      <c r="B316" s="145"/>
      <c r="C316" s="145"/>
      <c r="D316" s="145"/>
    </row>
    <row r="317" spans="1:4">
      <c r="A317" s="145"/>
      <c r="B317" s="145"/>
      <c r="C317" s="145"/>
      <c r="D317" s="145"/>
    </row>
    <row r="318" spans="1:4">
      <c r="A318" s="145"/>
      <c r="B318" s="145"/>
      <c r="C318" s="145"/>
      <c r="D318" s="145"/>
    </row>
    <row r="319" spans="1:4">
      <c r="A319" s="145"/>
      <c r="B319" s="145"/>
      <c r="C319" s="145"/>
      <c r="D319" s="145"/>
    </row>
    <row r="320" spans="1:4">
      <c r="A320" s="145"/>
      <c r="B320" s="145"/>
      <c r="C320" s="145"/>
      <c r="D320" s="145"/>
    </row>
    <row r="321" spans="1:4">
      <c r="A321" s="145"/>
      <c r="B321" s="145"/>
      <c r="C321" s="145"/>
      <c r="D321" s="145"/>
    </row>
    <row r="322" spans="1:4">
      <c r="A322" s="145"/>
      <c r="B322" s="145"/>
      <c r="C322" s="145"/>
      <c r="D322" s="145"/>
    </row>
    <row r="323" spans="1:4">
      <c r="A323" s="145"/>
      <c r="B323" s="145"/>
      <c r="C323" s="145"/>
      <c r="D323" s="145"/>
    </row>
    <row r="324" spans="1:4">
      <c r="A324" s="145"/>
      <c r="B324" s="145"/>
      <c r="C324" s="145"/>
      <c r="D324" s="145"/>
    </row>
    <row r="325" spans="1:4">
      <c r="A325" s="145"/>
      <c r="B325" s="145"/>
      <c r="C325" s="145"/>
      <c r="D325" s="145"/>
    </row>
    <row r="326" spans="1:4">
      <c r="A326" s="145"/>
      <c r="B326" s="145"/>
      <c r="C326" s="145"/>
      <c r="D326" s="145"/>
    </row>
    <row r="327" spans="1:4">
      <c r="A327" s="145"/>
      <c r="B327" s="145"/>
      <c r="C327" s="145"/>
      <c r="D327" s="145"/>
    </row>
    <row r="328" spans="1:4">
      <c r="A328" s="145"/>
      <c r="B328" s="145"/>
      <c r="C328" s="145"/>
      <c r="D328" s="145"/>
    </row>
    <row r="329" spans="1:4">
      <c r="A329" s="145"/>
      <c r="B329" s="145"/>
      <c r="C329" s="145"/>
      <c r="D329" s="145"/>
    </row>
    <row r="330" spans="1:4">
      <c r="A330" s="145"/>
      <c r="B330" s="145"/>
      <c r="C330" s="145"/>
      <c r="D330" s="145"/>
    </row>
    <row r="331" spans="1:4">
      <c r="A331" s="145"/>
      <c r="B331" s="145"/>
      <c r="C331" s="145"/>
      <c r="D331" s="145"/>
    </row>
    <row r="332" spans="1:4">
      <c r="A332" s="145"/>
      <c r="B332" s="145"/>
      <c r="C332" s="145"/>
      <c r="D332" s="145"/>
    </row>
    <row r="333" spans="1:4">
      <c r="A333" s="145"/>
      <c r="B333" s="145"/>
      <c r="C333" s="145"/>
      <c r="D333" s="145"/>
    </row>
    <row r="334" spans="1:4">
      <c r="A334" s="145"/>
      <c r="B334" s="145"/>
      <c r="C334" s="145"/>
      <c r="D334" s="145"/>
    </row>
    <row r="335" spans="1:4">
      <c r="A335" s="145"/>
      <c r="B335" s="145"/>
      <c r="C335" s="145"/>
      <c r="D335" s="145"/>
    </row>
    <row r="336" spans="1:4">
      <c r="A336" s="145"/>
      <c r="B336" s="145"/>
      <c r="C336" s="145"/>
      <c r="D336" s="145"/>
    </row>
    <row r="337" spans="1:4">
      <c r="A337" s="145"/>
      <c r="B337" s="145"/>
      <c r="C337" s="145"/>
      <c r="D337" s="145"/>
    </row>
    <row r="338" spans="1:4">
      <c r="A338" s="145"/>
      <c r="B338" s="145"/>
      <c r="C338" s="145"/>
      <c r="D338" s="145"/>
    </row>
    <row r="339" spans="1:4">
      <c r="A339" s="145"/>
      <c r="B339" s="145"/>
      <c r="C339" s="145"/>
      <c r="D339" s="145"/>
    </row>
    <row r="340" spans="1:4">
      <c r="A340" s="145"/>
      <c r="B340" s="145"/>
      <c r="C340" s="145"/>
      <c r="D340" s="145"/>
    </row>
    <row r="341" spans="1:4">
      <c r="A341" s="145"/>
      <c r="B341" s="145"/>
      <c r="C341" s="145"/>
      <c r="D341" s="145"/>
    </row>
    <row r="342" spans="1:4">
      <c r="A342" s="145"/>
      <c r="B342" s="145"/>
      <c r="C342" s="145"/>
      <c r="D342" s="145"/>
    </row>
    <row r="343" spans="1:4">
      <c r="A343" s="145"/>
      <c r="B343" s="145"/>
      <c r="C343" s="145"/>
      <c r="D343" s="145"/>
    </row>
    <row r="344" spans="1:4">
      <c r="A344" s="145"/>
      <c r="B344" s="145"/>
      <c r="C344" s="145"/>
      <c r="D344" s="145"/>
    </row>
    <row r="345" spans="1:4">
      <c r="A345" s="145"/>
      <c r="B345" s="145"/>
      <c r="C345" s="145"/>
      <c r="D345" s="145"/>
    </row>
    <row r="346" spans="1:4">
      <c r="A346" s="145"/>
      <c r="B346" s="145"/>
      <c r="C346" s="145"/>
      <c r="D346" s="145"/>
    </row>
    <row r="347" spans="1:4">
      <c r="A347" s="145"/>
      <c r="B347" s="145"/>
      <c r="C347" s="145"/>
      <c r="D347" s="145"/>
    </row>
    <row r="348" spans="1:4">
      <c r="A348" s="145"/>
      <c r="B348" s="145"/>
      <c r="C348" s="145"/>
      <c r="D348" s="145"/>
    </row>
    <row r="349" spans="1:4">
      <c r="A349" s="145"/>
      <c r="B349" s="145"/>
      <c r="C349" s="145"/>
      <c r="D349" s="145"/>
    </row>
    <row r="350" spans="1:4">
      <c r="A350" s="145"/>
      <c r="B350" s="145"/>
      <c r="C350" s="145"/>
      <c r="D350" s="145"/>
    </row>
    <row r="351" spans="1:4">
      <c r="A351" s="145"/>
      <c r="B351" s="145"/>
      <c r="C351" s="145"/>
      <c r="D351" s="145"/>
    </row>
    <row r="352" spans="1:4">
      <c r="A352" s="145"/>
      <c r="B352" s="145"/>
      <c r="C352" s="145"/>
      <c r="D352" s="145"/>
    </row>
    <row r="353" spans="1:4">
      <c r="A353" s="145"/>
      <c r="B353" s="145"/>
      <c r="C353" s="145"/>
      <c r="D353" s="145"/>
    </row>
    <row r="354" spans="1:4">
      <c r="A354" s="145"/>
      <c r="B354" s="145"/>
      <c r="C354" s="145"/>
      <c r="D354" s="145"/>
    </row>
    <row r="355" spans="1:4">
      <c r="A355" s="145"/>
      <c r="B355" s="145"/>
      <c r="C355" s="145"/>
      <c r="D355" s="145"/>
    </row>
    <row r="356" spans="1:4">
      <c r="A356" s="145"/>
      <c r="B356" s="145"/>
      <c r="C356" s="145"/>
      <c r="D356" s="145"/>
    </row>
    <row r="357" spans="1:4">
      <c r="A357" s="145"/>
      <c r="B357" s="145"/>
      <c r="C357" s="145"/>
      <c r="D357" s="145"/>
    </row>
    <row r="358" spans="1:4">
      <c r="A358" s="145"/>
      <c r="B358" s="145"/>
      <c r="C358" s="145"/>
      <c r="D358" s="145"/>
    </row>
    <row r="359" spans="1:4">
      <c r="A359" s="145"/>
      <c r="B359" s="145"/>
      <c r="C359" s="145"/>
      <c r="D359" s="145"/>
    </row>
    <row r="360" spans="1:4">
      <c r="A360" s="145"/>
      <c r="B360" s="145"/>
      <c r="C360" s="145"/>
      <c r="D360" s="145"/>
    </row>
    <row r="361" spans="1:4">
      <c r="A361" s="145"/>
      <c r="B361" s="145"/>
      <c r="C361" s="145"/>
      <c r="D361" s="145"/>
    </row>
    <row r="362" spans="1:4">
      <c r="A362" s="145"/>
      <c r="B362" s="145"/>
      <c r="C362" s="145"/>
      <c r="D362" s="145"/>
    </row>
    <row r="363" spans="1:4">
      <c r="A363" s="145"/>
      <c r="B363" s="145"/>
      <c r="C363" s="145"/>
      <c r="D363" s="145"/>
    </row>
    <row r="364" spans="1:4">
      <c r="A364" s="145"/>
      <c r="B364" s="145"/>
      <c r="C364" s="145"/>
      <c r="D364" s="145"/>
    </row>
    <row r="365" spans="1:4">
      <c r="A365" s="145"/>
      <c r="B365" s="145"/>
      <c r="C365" s="145"/>
      <c r="D365" s="145"/>
    </row>
    <row r="366" spans="1:4">
      <c r="A366" s="145"/>
      <c r="B366" s="145"/>
      <c r="C366" s="145"/>
      <c r="D366" s="145"/>
    </row>
    <row r="367" spans="1:4">
      <c r="A367" s="145"/>
      <c r="B367" s="145"/>
      <c r="C367" s="145"/>
      <c r="D367" s="145"/>
    </row>
    <row r="368" spans="1:4">
      <c r="A368" s="145"/>
      <c r="B368" s="145"/>
      <c r="C368" s="145"/>
      <c r="D368" s="145"/>
    </row>
    <row r="369" spans="1:4">
      <c r="A369" s="145"/>
      <c r="B369" s="145"/>
      <c r="C369" s="145"/>
      <c r="D369" s="145"/>
    </row>
    <row r="370" spans="1:4">
      <c r="A370" s="145"/>
      <c r="B370" s="145"/>
      <c r="C370" s="145"/>
      <c r="D370" s="145"/>
    </row>
    <row r="371" spans="1:4">
      <c r="A371" s="145"/>
      <c r="B371" s="145"/>
      <c r="C371" s="145"/>
      <c r="D371" s="145"/>
    </row>
    <row r="372" spans="1:4">
      <c r="A372" s="145"/>
      <c r="B372" s="145"/>
      <c r="C372" s="145"/>
      <c r="D372" s="145"/>
    </row>
    <row r="373" spans="1:4">
      <c r="A373" s="145"/>
      <c r="B373" s="145"/>
      <c r="C373" s="145"/>
      <c r="D373" s="145"/>
    </row>
    <row r="374" spans="1:4">
      <c r="A374" s="145"/>
      <c r="B374" s="145"/>
      <c r="C374" s="145"/>
      <c r="D374" s="145"/>
    </row>
    <row r="375" spans="1:4">
      <c r="A375" s="145"/>
      <c r="B375" s="145"/>
      <c r="C375" s="145"/>
      <c r="D375" s="145"/>
    </row>
    <row r="376" spans="1:4">
      <c r="A376" s="145"/>
      <c r="B376" s="145"/>
      <c r="C376" s="145"/>
      <c r="D376" s="145"/>
    </row>
    <row r="377" spans="1:4">
      <c r="A377" s="145"/>
      <c r="B377" s="145"/>
      <c r="C377" s="145"/>
      <c r="D377" s="145"/>
    </row>
    <row r="378" spans="1:4">
      <c r="A378" s="145"/>
      <c r="B378" s="145"/>
      <c r="C378" s="145"/>
      <c r="D378" s="145"/>
    </row>
    <row r="379" spans="1:4">
      <c r="A379" s="145"/>
      <c r="B379" s="145"/>
      <c r="C379" s="145"/>
      <c r="D379" s="145"/>
    </row>
    <row r="380" spans="1:4">
      <c r="A380" s="145"/>
      <c r="B380" s="145"/>
      <c r="C380" s="145"/>
      <c r="D380" s="145"/>
    </row>
    <row r="381" spans="1:4">
      <c r="A381" s="145"/>
      <c r="B381" s="145"/>
      <c r="C381" s="145"/>
      <c r="D381" s="145"/>
    </row>
    <row r="382" spans="1:4">
      <c r="A382" s="145"/>
      <c r="B382" s="145"/>
      <c r="C382" s="145"/>
      <c r="D382" s="145"/>
    </row>
    <row r="383" spans="1:4">
      <c r="A383" s="145"/>
      <c r="B383" s="145"/>
      <c r="C383" s="145"/>
      <c r="D383" s="145"/>
    </row>
    <row r="384" spans="1:4">
      <c r="A384" s="145"/>
      <c r="B384" s="145"/>
      <c r="C384" s="145"/>
      <c r="D384" s="145"/>
    </row>
    <row r="385" spans="1:4">
      <c r="A385" s="145"/>
      <c r="B385" s="145"/>
      <c r="C385" s="145"/>
      <c r="D385" s="145"/>
    </row>
    <row r="386" spans="1:4">
      <c r="A386" s="145"/>
      <c r="B386" s="145"/>
      <c r="C386" s="145"/>
      <c r="D386" s="145"/>
    </row>
    <row r="387" spans="1:4">
      <c r="A387" s="145"/>
      <c r="B387" s="145"/>
      <c r="C387" s="145"/>
      <c r="D387" s="145"/>
    </row>
    <row r="388" spans="1:4">
      <c r="A388" s="145"/>
      <c r="B388" s="145"/>
      <c r="C388" s="145"/>
      <c r="D388" s="145"/>
    </row>
    <row r="389" spans="1:4">
      <c r="A389" s="145"/>
      <c r="B389" s="145"/>
      <c r="C389" s="145"/>
      <c r="D389" s="145"/>
    </row>
  </sheetData>
  <pageMargins left="0.7" right="0.7" top="0.75" bottom="0.75" header="0.3" footer="0.3"/>
  <pageSetup paperSize="9"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FEEC3-0457-4C8B-955A-6557349C959A}">
  <sheetPr codeName="Sheet12"/>
  <dimension ref="A1:U389"/>
  <sheetViews>
    <sheetView zoomScale="120" zoomScaleNormal="120" workbookViewId="0">
      <selection activeCell="J8" sqref="J8"/>
    </sheetView>
  </sheetViews>
  <sheetFormatPr defaultColWidth="9.109375" defaultRowHeight="14.4"/>
  <cols>
    <col min="1" max="1" width="46.5546875" style="139" bestFit="1" customWidth="1"/>
    <col min="2" max="4" width="11.88671875" style="139" customWidth="1"/>
    <col min="5" max="5" width="11.5546875" style="139" bestFit="1" customWidth="1"/>
    <col min="6" max="9" width="11.5546875" style="139" customWidth="1"/>
    <col min="10" max="10" width="11" style="139" customWidth="1"/>
    <col min="11" max="14" width="11.5546875" style="139" customWidth="1"/>
    <col min="15" max="15" width="10.88671875" style="139" customWidth="1"/>
    <col min="16" max="19" width="9.109375" style="139"/>
    <col min="20" max="20" width="11" style="139" bestFit="1" customWidth="1"/>
    <col min="21" max="16384" width="9.109375" style="139"/>
  </cols>
  <sheetData>
    <row r="1" spans="1:20">
      <c r="A1" s="139" t="s">
        <v>6</v>
      </c>
      <c r="B1" s="166"/>
    </row>
    <row r="2" spans="1:20">
      <c r="B2" s="167"/>
    </row>
    <row r="3" spans="1:20" ht="16.2">
      <c r="A3" s="144" t="s">
        <v>13</v>
      </c>
      <c r="B3" s="168">
        <v>1.3806490000000001E-23</v>
      </c>
      <c r="C3" s="139" t="s">
        <v>14</v>
      </c>
    </row>
    <row r="4" spans="1:20" ht="16.8">
      <c r="A4" s="144" t="s">
        <v>19</v>
      </c>
      <c r="B4" s="168">
        <v>6.0221407599999999E+23</v>
      </c>
      <c r="C4" s="139" t="s">
        <v>18</v>
      </c>
      <c r="K4" s="169"/>
    </row>
    <row r="5" spans="1:20" ht="16.2">
      <c r="A5" s="144" t="s">
        <v>12</v>
      </c>
      <c r="B5" s="170">
        <v>8.3144626181532395</v>
      </c>
      <c r="C5" s="139" t="s">
        <v>0</v>
      </c>
    </row>
    <row r="6" spans="1:20">
      <c r="A6" s="144" t="s">
        <v>1</v>
      </c>
      <c r="B6" s="145">
        <f>'PC-SAFT VLE'!B3</f>
        <v>233.14999999999998</v>
      </c>
      <c r="C6" s="139" t="s">
        <v>2</v>
      </c>
      <c r="J6" s="171"/>
      <c r="K6" s="171"/>
    </row>
    <row r="7" spans="1:20">
      <c r="A7" s="144" t="s">
        <v>85</v>
      </c>
      <c r="B7" s="170">
        <f>'PC-SAFT VLE'!F4</f>
        <v>1.2733658785437574E-2</v>
      </c>
      <c r="E7" s="171"/>
      <c r="F7" s="171"/>
      <c r="G7" s="171"/>
      <c r="H7" s="171"/>
      <c r="I7" s="171"/>
    </row>
    <row r="8" spans="1:20" ht="16.2">
      <c r="A8" s="144" t="s">
        <v>16</v>
      </c>
      <c r="B8" s="148">
        <f>6*B7/(SUMPRODUCT(B15:D15,B16:D16,B19:D19^3)*PI())</f>
        <v>4.3875012321522905E-4</v>
      </c>
      <c r="C8" s="139" t="s">
        <v>11</v>
      </c>
    </row>
    <row r="9" spans="1:20" ht="16.2">
      <c r="A9" s="144" t="s">
        <v>17</v>
      </c>
      <c r="B9" s="172">
        <f>B4*10^-30/B8</f>
        <v>1.3725673091254805E-3</v>
      </c>
      <c r="C9" s="173" t="s">
        <v>15</v>
      </c>
      <c r="E9" s="171"/>
      <c r="F9" s="171"/>
      <c r="G9" s="171"/>
      <c r="H9" s="171"/>
      <c r="I9" s="171"/>
      <c r="K9" s="171"/>
    </row>
    <row r="10" spans="1:20">
      <c r="A10" s="144"/>
      <c r="B10" s="174"/>
    </row>
    <row r="11" spans="1:20">
      <c r="A11" s="140" t="s">
        <v>30</v>
      </c>
      <c r="B11" s="174"/>
      <c r="F11" s="139" t="s">
        <v>67</v>
      </c>
      <c r="K11" s="139" t="s">
        <v>127</v>
      </c>
      <c r="S11" s="139" t="s">
        <v>126</v>
      </c>
    </row>
    <row r="12" spans="1:20">
      <c r="A12" s="144"/>
      <c r="B12" s="170"/>
    </row>
    <row r="13" spans="1:20" ht="15.6">
      <c r="A13" s="175" t="s">
        <v>4</v>
      </c>
      <c r="B13" s="176" t="s">
        <v>86</v>
      </c>
      <c r="C13" s="177" t="s">
        <v>87</v>
      </c>
      <c r="D13" s="177" t="s">
        <v>88</v>
      </c>
      <c r="F13" s="178" t="s">
        <v>89</v>
      </c>
      <c r="L13" s="144" t="s">
        <v>76</v>
      </c>
      <c r="M13" s="140">
        <v>1E-4</v>
      </c>
      <c r="T13" s="139">
        <f>PCSAFTA(B6,B8,B15:D15,B16:D16,B17:D17,B18:D18,G15:I17)</f>
        <v>-9.8231876709476459E-2</v>
      </c>
    </row>
    <row r="14" spans="1:20">
      <c r="A14" s="146" t="s">
        <v>8</v>
      </c>
      <c r="B14" s="179">
        <v>1</v>
      </c>
      <c r="C14" s="179">
        <v>2</v>
      </c>
      <c r="D14" s="179">
        <v>3</v>
      </c>
      <c r="F14" s="175" t="s">
        <v>3</v>
      </c>
      <c r="G14" s="177">
        <v>1</v>
      </c>
      <c r="H14" s="177">
        <v>2</v>
      </c>
      <c r="I14" s="177">
        <v>3</v>
      </c>
      <c r="L14" s="144" t="s">
        <v>71</v>
      </c>
      <c r="M14" s="140">
        <f>M13*B15</f>
        <v>7.2466289283432895E-5</v>
      </c>
    </row>
    <row r="15" spans="1:20" ht="15.6">
      <c r="A15" s="146" t="s">
        <v>9</v>
      </c>
      <c r="B15" s="180">
        <f t="array" ref="B15:D15">TRANSPOSE('PC-SAFT VLE'!D7:D9)</f>
        <v>0.72466289283432894</v>
      </c>
      <c r="C15" s="180">
        <v>0.20293191372324873</v>
      </c>
      <c r="D15" s="180">
        <v>7.24051934424223E-2</v>
      </c>
      <c r="F15" s="146">
        <v>1</v>
      </c>
      <c r="G15" s="148">
        <v>0</v>
      </c>
      <c r="H15" s="148">
        <f>G16</f>
        <v>2.9999999999999997E-4</v>
      </c>
      <c r="I15" s="148">
        <f>G17</f>
        <v>1.15E-2</v>
      </c>
      <c r="T15" s="139">
        <f>PCSAFTZ(B6,B8,B15:D15,B16:D16,B17:D17,B18:D18,G15:I17)</f>
        <v>0.90373365322886823</v>
      </c>
    </row>
    <row r="16" spans="1:20" ht="15.6">
      <c r="A16" s="146" t="s">
        <v>7</v>
      </c>
      <c r="B16" s="180">
        <v>1</v>
      </c>
      <c r="C16" s="180">
        <v>1.6069</v>
      </c>
      <c r="D16" s="180">
        <v>2.0019999999999998</v>
      </c>
      <c r="F16" s="146">
        <v>2</v>
      </c>
      <c r="G16" s="148">
        <v>2.9999999999999997E-4</v>
      </c>
      <c r="H16" s="148">
        <v>0</v>
      </c>
      <c r="I16" s="148">
        <f>H17</f>
        <v>5.1000000000000004E-3</v>
      </c>
      <c r="J16" s="181"/>
      <c r="K16" s="175" t="s">
        <v>70</v>
      </c>
      <c r="L16" s="182" t="s">
        <v>117</v>
      </c>
      <c r="M16" s="182" t="s">
        <v>116</v>
      </c>
      <c r="N16" s="182" t="s">
        <v>115</v>
      </c>
      <c r="O16" s="183"/>
    </row>
    <row r="17" spans="1:21" ht="15.6">
      <c r="A17" s="146" t="s">
        <v>10</v>
      </c>
      <c r="B17" s="180">
        <v>3.7039</v>
      </c>
      <c r="C17" s="180">
        <v>3.5206</v>
      </c>
      <c r="D17" s="180">
        <v>3.6183999999999998</v>
      </c>
      <c r="F17" s="146">
        <v>3</v>
      </c>
      <c r="G17" s="148">
        <v>1.15E-2</v>
      </c>
      <c r="H17" s="148">
        <v>5.1000000000000004E-3</v>
      </c>
      <c r="I17" s="148">
        <v>0</v>
      </c>
      <c r="K17" s="184" t="s">
        <v>72</v>
      </c>
      <c r="L17" s="185">
        <f>B15-2*M14</f>
        <v>0.72451796025576209</v>
      </c>
      <c r="M17" s="185">
        <f>C15</f>
        <v>0.20293191372324873</v>
      </c>
      <c r="N17" s="185">
        <f>D15</f>
        <v>7.24051934424223E-2</v>
      </c>
      <c r="O17" s="186">
        <f>PCSAFTA(B6,B8,L17:N17,B16:D16,B17:D17,B18:D18,G15:I17)</f>
        <v>-9.8213897766468966E-2</v>
      </c>
      <c r="S17" s="144" t="s">
        <v>125</v>
      </c>
      <c r="T17" s="181">
        <f>T15*B3*B6*B8*10^30</f>
        <v>1276369.4734221511</v>
      </c>
      <c r="U17" s="139" t="s">
        <v>124</v>
      </c>
    </row>
    <row r="18" spans="1:21" ht="15.6">
      <c r="A18" s="146" t="s">
        <v>21</v>
      </c>
      <c r="B18" s="179">
        <v>150.03</v>
      </c>
      <c r="C18" s="179">
        <v>191.42</v>
      </c>
      <c r="D18" s="179">
        <v>208.11</v>
      </c>
      <c r="J18" s="181"/>
      <c r="K18" s="146" t="s">
        <v>73</v>
      </c>
      <c r="L18" s="187">
        <f>B15-M14</f>
        <v>0.72459042654504546</v>
      </c>
      <c r="M18" s="187">
        <f>M17</f>
        <v>0.20293191372324873</v>
      </c>
      <c r="N18" s="187">
        <f>N17</f>
        <v>7.24051934424223E-2</v>
      </c>
      <c r="O18" s="188">
        <f>PCSAFTA(B6,B8,L18:N18,B16:D16,B17:D17,B18:D18,G15:I17)</f>
        <v>-9.8222887069829262E-2</v>
      </c>
    </row>
    <row r="19" spans="1:21" ht="19.8">
      <c r="A19" s="146" t="s">
        <v>20</v>
      </c>
      <c r="B19" s="180">
        <f>B17*(1-0.12*EXP(-3*B18/$B6))</f>
        <v>3.6394168391548423</v>
      </c>
      <c r="C19" s="180">
        <f>C17*(1-0.12*EXP(-3*C18/$B6))</f>
        <v>3.484616027410032</v>
      </c>
      <c r="D19" s="180">
        <f>D17*(1-0.12*EXP(-3*D18/$B6))</f>
        <v>3.5885638814010004</v>
      </c>
      <c r="K19" s="146" t="s">
        <v>74</v>
      </c>
      <c r="L19" s="187">
        <f>B15+M14</f>
        <v>0.72473535912361242</v>
      </c>
      <c r="M19" s="187">
        <f t="shared" ref="M19:N20" si="0">M18</f>
        <v>0.20293191372324873</v>
      </c>
      <c r="N19" s="187">
        <f t="shared" si="0"/>
        <v>7.24051934424223E-2</v>
      </c>
      <c r="O19" s="188">
        <f>PCSAFTA(B6,B8,L19:N19,B16:D16,B17:D17,B18:D18,G15:I17)</f>
        <v>-9.824086668542209E-2</v>
      </c>
      <c r="S19" s="189" t="s">
        <v>123</v>
      </c>
      <c r="T19" s="181">
        <f>EXP(T13+(T15-1)+M23-(B15*M23+C15*M35+D15*M47)-LN(T15))</f>
        <v>0.95301737018075117</v>
      </c>
      <c r="U19" s="139" t="s">
        <v>119</v>
      </c>
    </row>
    <row r="20" spans="1:21" ht="19.8">
      <c r="A20" s="140"/>
      <c r="B20" s="180"/>
      <c r="C20" s="180"/>
      <c r="D20" s="180"/>
      <c r="J20" s="171"/>
      <c r="K20" s="146" t="s">
        <v>75</v>
      </c>
      <c r="L20" s="187">
        <f>B15+2*M14</f>
        <v>0.72480782541289579</v>
      </c>
      <c r="M20" s="187">
        <f t="shared" si="0"/>
        <v>0.20293191372324873</v>
      </c>
      <c r="N20" s="187">
        <f t="shared" si="0"/>
        <v>7.24051934424223E-2</v>
      </c>
      <c r="O20" s="188">
        <f>PCSAFTA(B6,B8,L20:N20,B16:D16,B17:D17,B18:D18,G15:I17)</f>
        <v>-9.8249856997677312E-2</v>
      </c>
      <c r="S20" s="189" t="s">
        <v>121</v>
      </c>
      <c r="T20" s="181">
        <f>EXP(T13+(T15-1)+M35-(B15*M23+C15*M35+D15*M47)-LN(T15))</f>
        <v>0.83259643512613213</v>
      </c>
      <c r="U20" s="139" t="s">
        <v>119</v>
      </c>
    </row>
    <row r="21" spans="1:21" ht="19.8">
      <c r="A21" s="179"/>
      <c r="B21" s="180"/>
      <c r="C21" s="180"/>
      <c r="D21" s="180"/>
      <c r="E21" s="171"/>
      <c r="F21" s="171"/>
      <c r="G21" s="171"/>
      <c r="H21" s="171"/>
      <c r="I21" s="171"/>
      <c r="S21" s="189" t="s">
        <v>120</v>
      </c>
      <c r="T21" s="181">
        <f>EXP(T13+(T15-1)+M47-(B15*M23+C15*M35+D15*M47)-LN(T15))</f>
        <v>0.74589662506330201</v>
      </c>
      <c r="U21" s="139" t="s">
        <v>119</v>
      </c>
    </row>
    <row r="22" spans="1:21">
      <c r="B22" s="147"/>
      <c r="C22" s="147"/>
      <c r="D22" s="147"/>
    </row>
    <row r="23" spans="1:21">
      <c r="B23" s="180"/>
      <c r="C23" s="180"/>
      <c r="D23" s="180"/>
      <c r="M23" s="181">
        <f>(-O20+8*O19-8*O18+O17)/(12*M14)</f>
        <v>-0.1240550314279656</v>
      </c>
    </row>
    <row r="24" spans="1:21">
      <c r="A24" s="179"/>
      <c r="B24" s="171"/>
      <c r="C24" s="171"/>
      <c r="D24" s="171"/>
      <c r="E24" s="179"/>
      <c r="F24" s="179"/>
      <c r="G24" s="179"/>
      <c r="H24" s="179"/>
      <c r="I24" s="179"/>
    </row>
    <row r="25" spans="1:21">
      <c r="E25" s="179"/>
      <c r="F25" s="179"/>
      <c r="G25" s="179"/>
      <c r="H25" s="179"/>
      <c r="I25" s="179"/>
    </row>
    <row r="26" spans="1:21">
      <c r="L26" s="144" t="s">
        <v>71</v>
      </c>
      <c r="M26" s="140">
        <f>M13*C15</f>
        <v>2.0293191372324875E-5</v>
      </c>
    </row>
    <row r="27" spans="1:21">
      <c r="A27" s="179"/>
      <c r="F27" s="179"/>
      <c r="G27" s="179"/>
      <c r="H27" s="179"/>
      <c r="I27" s="179"/>
      <c r="J27" s="190"/>
    </row>
    <row r="28" spans="1:21" ht="15.6">
      <c r="F28" s="148"/>
      <c r="G28" s="148"/>
      <c r="H28" s="148"/>
      <c r="I28" s="148"/>
      <c r="J28" s="148"/>
      <c r="K28" s="175" t="s">
        <v>70</v>
      </c>
      <c r="L28" s="182" t="s">
        <v>117</v>
      </c>
      <c r="M28" s="182" t="s">
        <v>116</v>
      </c>
      <c r="N28" s="182" t="s">
        <v>115</v>
      </c>
      <c r="O28" s="183"/>
    </row>
    <row r="29" spans="1:21">
      <c r="F29" s="148"/>
      <c r="G29" s="148"/>
      <c r="H29" s="148"/>
      <c r="I29" s="148"/>
      <c r="J29" s="148"/>
      <c r="K29" s="184" t="s">
        <v>72</v>
      </c>
      <c r="L29" s="191">
        <f>B15</f>
        <v>0.72466289283432894</v>
      </c>
      <c r="M29" s="191">
        <f>C15-2*M26</f>
        <v>0.20289132734050408</v>
      </c>
      <c r="N29" s="191">
        <f>D15</f>
        <v>7.24051934424223E-2</v>
      </c>
      <c r="O29" s="186">
        <f>PCSAFTA(B6,B8,L29:N29,B16:D16,B17:D17,B18:D18,G15:I17)</f>
        <v>-9.8221359453709606E-2</v>
      </c>
    </row>
    <row r="30" spans="1:21">
      <c r="F30" s="148"/>
      <c r="G30" s="148"/>
      <c r="H30" s="148"/>
      <c r="I30" s="148"/>
      <c r="J30" s="148"/>
      <c r="K30" s="146" t="s">
        <v>73</v>
      </c>
      <c r="L30" s="192">
        <f>L29</f>
        <v>0.72466289283432894</v>
      </c>
      <c r="M30" s="192">
        <f>C15-M26</f>
        <v>0.20291162053187642</v>
      </c>
      <c r="N30" s="192">
        <f>N29</f>
        <v>7.24051934424223E-2</v>
      </c>
      <c r="O30" s="188">
        <f>PCSAFTA(B6,B8,L30:N30,B16:D16,B17:D17,B18:D18,G15:I17)</f>
        <v>-9.8226618015773356E-2</v>
      </c>
    </row>
    <row r="31" spans="1:21" s="171" customFormat="1">
      <c r="A31" s="145"/>
      <c r="B31" s="179"/>
      <c r="C31" s="193"/>
      <c r="D31" s="193"/>
      <c r="E31" s="193"/>
      <c r="F31" s="193"/>
      <c r="G31" s="193"/>
      <c r="H31" s="193"/>
      <c r="I31" s="193"/>
      <c r="J31" s="139"/>
      <c r="K31" s="146" t="s">
        <v>74</v>
      </c>
      <c r="L31" s="192">
        <f t="shared" ref="L31:L32" si="1">L30</f>
        <v>0.72466289283432894</v>
      </c>
      <c r="M31" s="192">
        <f>C15+M26</f>
        <v>0.20295220691462104</v>
      </c>
      <c r="N31" s="192">
        <f t="shared" ref="N31:N32" si="2">N30</f>
        <v>7.24051934424223E-2</v>
      </c>
      <c r="O31" s="188">
        <f>PCSAFTA(B6,B8,L31:N31,B16:D16,B17:D17,B18:D18,G15:I17)</f>
        <v>-9.8237135534820511E-2</v>
      </c>
      <c r="P31" s="194"/>
    </row>
    <row r="32" spans="1:21">
      <c r="A32" s="145"/>
      <c r="B32" s="179"/>
      <c r="C32" s="193"/>
      <c r="D32" s="193"/>
      <c r="E32" s="193"/>
      <c r="F32" s="193"/>
      <c r="G32" s="193"/>
      <c r="H32" s="193"/>
      <c r="I32" s="193"/>
      <c r="K32" s="146" t="s">
        <v>75</v>
      </c>
      <c r="L32" s="192">
        <f t="shared" si="1"/>
        <v>0.72466289283432894</v>
      </c>
      <c r="M32" s="192">
        <f>C15+2*M26</f>
        <v>0.20297250010599338</v>
      </c>
      <c r="N32" s="192">
        <f t="shared" si="2"/>
        <v>7.24051934424223E-2</v>
      </c>
      <c r="O32" s="188">
        <f>PCSAFTA(B6,B8,L32:N32,B16:D16,B17:D17,B18:D18,G15:I17)</f>
        <v>-9.8242394491806745E-2</v>
      </c>
    </row>
    <row r="33" spans="1:15">
      <c r="A33" s="145"/>
      <c r="B33" s="179"/>
      <c r="C33" s="193"/>
      <c r="D33" s="193"/>
      <c r="E33" s="193"/>
      <c r="F33" s="193"/>
      <c r="G33" s="193"/>
      <c r="H33" s="193"/>
      <c r="I33" s="193"/>
      <c r="J33" s="148"/>
    </row>
    <row r="34" spans="1:15">
      <c r="A34" s="145"/>
      <c r="B34" s="179"/>
      <c r="C34" s="193"/>
      <c r="D34" s="193"/>
      <c r="E34" s="193"/>
      <c r="F34" s="193"/>
      <c r="G34" s="193"/>
      <c r="H34" s="193"/>
      <c r="I34" s="193"/>
      <c r="J34" s="148"/>
    </row>
    <row r="35" spans="1:15">
      <c r="A35" s="145"/>
      <c r="B35" s="179"/>
      <c r="C35" s="193"/>
      <c r="D35" s="193"/>
      <c r="E35" s="193"/>
      <c r="F35" s="193"/>
      <c r="G35" s="193"/>
      <c r="H35" s="193"/>
      <c r="I35" s="193"/>
      <c r="J35" s="148"/>
      <c r="M35" s="181">
        <f>(-O32+8*O31-8*O30+O29)/(12*M26)</f>
        <v>-0.25913910862315698</v>
      </c>
    </row>
    <row r="36" spans="1:15">
      <c r="A36" s="145"/>
      <c r="B36" s="145"/>
      <c r="C36" s="145"/>
      <c r="D36" s="145"/>
      <c r="J36" s="148"/>
    </row>
    <row r="37" spans="1:15">
      <c r="A37" s="145"/>
      <c r="B37" s="145"/>
      <c r="C37" s="195"/>
      <c r="D37" s="195"/>
      <c r="E37" s="195"/>
      <c r="F37" s="195"/>
      <c r="G37" s="195"/>
      <c r="H37" s="195"/>
      <c r="I37" s="195"/>
      <c r="K37" s="148"/>
      <c r="L37" s="148"/>
    </row>
    <row r="38" spans="1:15">
      <c r="A38" s="145"/>
      <c r="B38" s="145"/>
      <c r="C38" s="195"/>
      <c r="D38" s="195"/>
      <c r="E38" s="195"/>
      <c r="F38" s="195"/>
      <c r="G38" s="195"/>
      <c r="H38" s="195"/>
      <c r="I38" s="195"/>
      <c r="L38" s="144" t="s">
        <v>71</v>
      </c>
      <c r="M38" s="140">
        <f>M13*D15</f>
        <v>7.2405193442422305E-6</v>
      </c>
    </row>
    <row r="39" spans="1:15">
      <c r="A39" s="145"/>
      <c r="B39" s="145"/>
      <c r="C39" s="195"/>
      <c r="D39" s="195"/>
      <c r="E39" s="195"/>
      <c r="F39" s="195"/>
      <c r="G39" s="195"/>
      <c r="H39" s="195"/>
      <c r="I39" s="195"/>
      <c r="J39" s="179"/>
    </row>
    <row r="40" spans="1:15" ht="15.6">
      <c r="A40" s="145"/>
      <c r="B40" s="145"/>
      <c r="C40" s="195"/>
      <c r="D40" s="195"/>
      <c r="E40" s="195"/>
      <c r="F40" s="195"/>
      <c r="G40" s="195"/>
      <c r="H40" s="195"/>
      <c r="I40" s="195"/>
      <c r="J40" s="148"/>
      <c r="K40" s="175" t="s">
        <v>70</v>
      </c>
      <c r="L40" s="182" t="s">
        <v>117</v>
      </c>
      <c r="M40" s="182" t="s">
        <v>116</v>
      </c>
      <c r="N40" s="182" t="s">
        <v>115</v>
      </c>
      <c r="O40" s="183"/>
    </row>
    <row r="41" spans="1:15">
      <c r="A41" s="145"/>
      <c r="B41" s="145"/>
      <c r="C41" s="195"/>
      <c r="D41" s="195"/>
      <c r="E41" s="195"/>
      <c r="F41" s="195"/>
      <c r="G41" s="195"/>
      <c r="H41" s="195"/>
      <c r="I41" s="195"/>
      <c r="J41" s="148"/>
      <c r="K41" s="184" t="s">
        <v>72</v>
      </c>
      <c r="L41" s="191">
        <f>B15</f>
        <v>0.72466289283432894</v>
      </c>
      <c r="M41" s="191">
        <f>C15</f>
        <v>0.20293191372324873</v>
      </c>
      <c r="N41" s="191">
        <f>D15-2*M38</f>
        <v>7.239071240373382E-2</v>
      </c>
      <c r="O41" s="186">
        <f>PCSAFTA(B6,B8,L41:N41,B16:D16,B17:D17,B18:D18,G15:I17)</f>
        <v>-9.822653181137464E-2</v>
      </c>
    </row>
    <row r="42" spans="1:15">
      <c r="A42" s="145"/>
      <c r="B42" s="145"/>
      <c r="C42" s="195"/>
      <c r="D42" s="195"/>
      <c r="E42" s="195"/>
      <c r="F42" s="195"/>
      <c r="G42" s="195"/>
      <c r="H42" s="195"/>
      <c r="I42" s="195"/>
      <c r="J42" s="148"/>
      <c r="K42" s="146" t="s">
        <v>73</v>
      </c>
      <c r="L42" s="192">
        <f>L41</f>
        <v>0.72466289283432894</v>
      </c>
      <c r="M42" s="192">
        <f>M41</f>
        <v>0.20293191372324873</v>
      </c>
      <c r="N42" s="192">
        <f>D15-M38</f>
        <v>7.239795292307806E-2</v>
      </c>
      <c r="O42" s="188">
        <f>PCSAFTA(B6,B8,L42:N42,B16:D16,B17:D17,B18:D18,G15:I17)</f>
        <v>-9.8229204242966481E-2</v>
      </c>
    </row>
    <row r="43" spans="1:15">
      <c r="A43" s="145"/>
      <c r="B43" s="145"/>
      <c r="C43" s="195"/>
      <c r="D43" s="195"/>
      <c r="E43" s="195"/>
      <c r="F43" s="195"/>
      <c r="G43" s="195"/>
      <c r="H43" s="195"/>
      <c r="I43" s="195"/>
      <c r="K43" s="146" t="s">
        <v>74</v>
      </c>
      <c r="L43" s="192">
        <f t="shared" ref="L43:M44" si="3">L42</f>
        <v>0.72466289283432894</v>
      </c>
      <c r="M43" s="192">
        <f t="shared" si="3"/>
        <v>0.20293191372324873</v>
      </c>
      <c r="N43" s="192">
        <f>D15+M38</f>
        <v>7.241243396176654E-2</v>
      </c>
      <c r="O43" s="188">
        <f>PCSAFTA(B6,B8,L43:N43,B16:D16,B17:D17,B18:D18,G15:I17)</f>
        <v>-9.8234549210904881E-2</v>
      </c>
    </row>
    <row r="44" spans="1:15">
      <c r="A44" s="145"/>
      <c r="B44" s="145"/>
      <c r="C44" s="145"/>
      <c r="D44" s="145"/>
      <c r="K44" s="146" t="s">
        <v>75</v>
      </c>
      <c r="L44" s="192">
        <f t="shared" si="3"/>
        <v>0.72466289283432894</v>
      </c>
      <c r="M44" s="192">
        <f t="shared" si="3"/>
        <v>0.20293191372324873</v>
      </c>
      <c r="N44" s="192">
        <f>D15+2*M38</f>
        <v>7.241967448111078E-2</v>
      </c>
      <c r="O44" s="188">
        <f>PCSAFTA(B6,B8,L44:N44,B16:D16,B17:D17,B18:D18,G15:I17)</f>
        <v>-9.8237221747251607E-2</v>
      </c>
    </row>
    <row r="45" spans="1:15">
      <c r="A45" s="145"/>
      <c r="B45" s="145"/>
      <c r="C45" s="148"/>
      <c r="D45" s="148"/>
      <c r="E45" s="148"/>
      <c r="F45" s="148"/>
      <c r="G45" s="148"/>
      <c r="H45" s="148"/>
      <c r="I45" s="148"/>
      <c r="J45" s="179"/>
    </row>
    <row r="46" spans="1:15">
      <c r="A46" s="145"/>
      <c r="B46" s="145"/>
      <c r="C46" s="148"/>
      <c r="D46" s="148"/>
      <c r="E46" s="148"/>
      <c r="F46" s="148"/>
      <c r="G46" s="148"/>
      <c r="H46" s="148"/>
      <c r="I46" s="148"/>
      <c r="J46" s="148"/>
    </row>
    <row r="47" spans="1:15">
      <c r="A47" s="145"/>
      <c r="B47" s="145"/>
      <c r="C47" s="148"/>
      <c r="D47" s="148"/>
      <c r="E47" s="148"/>
      <c r="F47" s="148"/>
      <c r="G47" s="148"/>
      <c r="H47" s="148"/>
      <c r="I47" s="148"/>
      <c r="J47" s="148"/>
      <c r="M47" s="181">
        <f>(-O44+8*O43-8*O42+O41)/(12*M38)</f>
        <v>-0.36910114345787337</v>
      </c>
    </row>
    <row r="48" spans="1:15">
      <c r="A48" s="145"/>
      <c r="B48" s="145"/>
      <c r="C48" s="148"/>
      <c r="D48" s="148"/>
      <c r="E48" s="148"/>
      <c r="F48" s="148"/>
      <c r="G48" s="148"/>
      <c r="H48" s="148"/>
      <c r="I48" s="148"/>
      <c r="J48" s="148"/>
    </row>
    <row r="49" spans="1:12">
      <c r="A49" s="145"/>
      <c r="B49" s="145"/>
      <c r="C49" s="148"/>
      <c r="D49" s="148"/>
      <c r="E49" s="148"/>
      <c r="F49" s="148"/>
      <c r="G49" s="148"/>
      <c r="H49" s="148"/>
      <c r="I49" s="148"/>
      <c r="K49" s="179"/>
      <c r="L49" s="179"/>
    </row>
    <row r="50" spans="1:12">
      <c r="A50" s="145"/>
      <c r="B50" s="145"/>
      <c r="C50" s="148"/>
      <c r="D50" s="148"/>
      <c r="E50" s="148"/>
      <c r="F50" s="148"/>
      <c r="G50" s="148"/>
      <c r="H50" s="148"/>
      <c r="I50" s="148"/>
    </row>
    <row r="51" spans="1:12">
      <c r="A51" s="145"/>
      <c r="B51" s="145"/>
      <c r="C51" s="148"/>
      <c r="D51" s="148"/>
      <c r="E51" s="148"/>
      <c r="F51" s="148"/>
      <c r="G51" s="148"/>
      <c r="H51" s="148"/>
      <c r="I51" s="148"/>
    </row>
    <row r="52" spans="1:12">
      <c r="A52" s="145"/>
      <c r="B52" s="145"/>
      <c r="C52" s="148"/>
      <c r="D52" s="148"/>
      <c r="E52" s="148"/>
      <c r="F52" s="148"/>
      <c r="G52" s="148"/>
      <c r="H52" s="148"/>
      <c r="I52" s="148"/>
    </row>
    <row r="53" spans="1:12">
      <c r="A53" s="145"/>
      <c r="B53" s="145"/>
      <c r="C53" s="148"/>
      <c r="D53" s="148"/>
      <c r="E53" s="148"/>
      <c r="F53" s="148"/>
      <c r="G53" s="148"/>
      <c r="H53" s="148"/>
      <c r="I53" s="148"/>
    </row>
    <row r="54" spans="1:12">
      <c r="A54" s="145"/>
      <c r="B54" s="145"/>
      <c r="C54" s="145"/>
      <c r="D54" s="145"/>
    </row>
    <row r="55" spans="1:12">
      <c r="A55" s="145"/>
      <c r="B55" s="145"/>
      <c r="C55" s="145"/>
      <c r="D55" s="145"/>
    </row>
    <row r="56" spans="1:12">
      <c r="A56" s="145"/>
      <c r="B56" s="145"/>
      <c r="C56" s="145"/>
      <c r="D56" s="145"/>
    </row>
    <row r="57" spans="1:12">
      <c r="A57" s="145"/>
      <c r="B57" s="145"/>
      <c r="C57" s="145"/>
      <c r="D57" s="145"/>
    </row>
    <row r="58" spans="1:12">
      <c r="A58" s="145"/>
      <c r="B58" s="145"/>
      <c r="C58" s="145"/>
      <c r="D58" s="145"/>
    </row>
    <row r="59" spans="1:12">
      <c r="A59" s="145"/>
      <c r="B59" s="145"/>
      <c r="C59" s="145"/>
      <c r="D59" s="145"/>
    </row>
    <row r="60" spans="1:12">
      <c r="A60" s="145"/>
      <c r="B60" s="145"/>
      <c r="C60" s="145"/>
      <c r="D60" s="145"/>
    </row>
    <row r="61" spans="1:12">
      <c r="A61" s="145"/>
      <c r="B61" s="145"/>
      <c r="C61" s="145"/>
      <c r="D61" s="145"/>
    </row>
    <row r="62" spans="1:12">
      <c r="A62" s="145"/>
      <c r="B62" s="145"/>
      <c r="C62" s="145"/>
      <c r="D62" s="145"/>
    </row>
    <row r="63" spans="1:12">
      <c r="A63" s="145"/>
      <c r="B63" s="145"/>
      <c r="C63" s="145"/>
      <c r="D63" s="145"/>
    </row>
    <row r="64" spans="1:12">
      <c r="A64" s="145"/>
      <c r="B64" s="145"/>
      <c r="C64" s="145"/>
      <c r="D64" s="145"/>
    </row>
    <row r="65" spans="1:4">
      <c r="A65" s="145"/>
      <c r="B65" s="145"/>
      <c r="C65" s="145"/>
      <c r="D65" s="145"/>
    </row>
    <row r="66" spans="1:4">
      <c r="A66" s="145"/>
      <c r="B66" s="145"/>
      <c r="C66" s="145"/>
      <c r="D66" s="145"/>
    </row>
    <row r="67" spans="1:4">
      <c r="A67" s="145"/>
      <c r="B67" s="145"/>
      <c r="C67" s="145"/>
      <c r="D67" s="145"/>
    </row>
    <row r="68" spans="1:4">
      <c r="A68" s="145"/>
      <c r="B68" s="145"/>
      <c r="C68" s="145"/>
      <c r="D68" s="145"/>
    </row>
    <row r="69" spans="1:4">
      <c r="A69" s="145"/>
      <c r="B69" s="145"/>
      <c r="C69" s="145"/>
      <c r="D69" s="145"/>
    </row>
    <row r="70" spans="1:4">
      <c r="A70" s="145"/>
      <c r="B70" s="145"/>
      <c r="C70" s="145"/>
      <c r="D70" s="145"/>
    </row>
    <row r="71" spans="1:4">
      <c r="A71" s="145"/>
      <c r="B71" s="145"/>
      <c r="C71" s="145"/>
      <c r="D71" s="145"/>
    </row>
    <row r="72" spans="1:4">
      <c r="A72" s="145"/>
      <c r="B72" s="145"/>
      <c r="C72" s="145"/>
      <c r="D72" s="145"/>
    </row>
    <row r="73" spans="1:4">
      <c r="A73" s="145"/>
      <c r="B73" s="145"/>
      <c r="C73" s="145"/>
      <c r="D73" s="145"/>
    </row>
    <row r="74" spans="1:4">
      <c r="A74" s="145"/>
      <c r="B74" s="145"/>
      <c r="C74" s="145"/>
      <c r="D74" s="145"/>
    </row>
    <row r="75" spans="1:4">
      <c r="A75" s="145"/>
      <c r="B75" s="145"/>
      <c r="C75" s="145"/>
      <c r="D75" s="145"/>
    </row>
    <row r="76" spans="1:4">
      <c r="A76" s="145"/>
      <c r="B76" s="145"/>
      <c r="C76" s="145"/>
      <c r="D76" s="145"/>
    </row>
    <row r="77" spans="1:4">
      <c r="A77" s="145"/>
      <c r="B77" s="145"/>
      <c r="C77" s="145"/>
      <c r="D77" s="145"/>
    </row>
    <row r="78" spans="1:4">
      <c r="A78" s="145"/>
      <c r="B78" s="145"/>
      <c r="C78" s="145"/>
      <c r="D78" s="145"/>
    </row>
    <row r="79" spans="1:4">
      <c r="A79" s="145"/>
      <c r="B79" s="145"/>
      <c r="C79" s="145"/>
      <c r="D79" s="145"/>
    </row>
    <row r="80" spans="1:4">
      <c r="A80" s="145"/>
      <c r="B80" s="145"/>
      <c r="C80" s="145"/>
      <c r="D80" s="145"/>
    </row>
    <row r="81" spans="1:4">
      <c r="A81" s="145"/>
      <c r="B81" s="145"/>
      <c r="C81" s="145"/>
      <c r="D81" s="145"/>
    </row>
    <row r="82" spans="1:4">
      <c r="A82" s="145"/>
      <c r="B82" s="145"/>
      <c r="C82" s="145"/>
      <c r="D82" s="145"/>
    </row>
    <row r="83" spans="1:4">
      <c r="A83" s="145"/>
      <c r="B83" s="145"/>
      <c r="C83" s="145"/>
      <c r="D83" s="145"/>
    </row>
    <row r="84" spans="1:4">
      <c r="A84" s="145"/>
      <c r="B84" s="145"/>
      <c r="C84" s="145"/>
      <c r="D84" s="145"/>
    </row>
    <row r="85" spans="1:4">
      <c r="A85" s="145"/>
      <c r="B85" s="145"/>
      <c r="C85" s="145"/>
      <c r="D85" s="145"/>
    </row>
    <row r="86" spans="1:4">
      <c r="A86" s="145"/>
      <c r="B86" s="145"/>
      <c r="C86" s="145"/>
      <c r="D86" s="145"/>
    </row>
    <row r="87" spans="1:4">
      <c r="A87" s="145"/>
      <c r="B87" s="145"/>
      <c r="C87" s="145"/>
      <c r="D87" s="145"/>
    </row>
    <row r="88" spans="1:4">
      <c r="A88" s="145"/>
      <c r="B88" s="145"/>
      <c r="C88" s="145"/>
      <c r="D88" s="145"/>
    </row>
    <row r="89" spans="1:4">
      <c r="A89" s="145"/>
      <c r="B89" s="145"/>
      <c r="C89" s="145"/>
      <c r="D89" s="145"/>
    </row>
    <row r="90" spans="1:4">
      <c r="A90" s="145"/>
      <c r="B90" s="145"/>
      <c r="C90" s="145"/>
      <c r="D90" s="145"/>
    </row>
    <row r="91" spans="1:4">
      <c r="A91" s="145"/>
      <c r="B91" s="145"/>
      <c r="C91" s="145"/>
      <c r="D91" s="145"/>
    </row>
    <row r="92" spans="1:4">
      <c r="A92" s="145"/>
      <c r="B92" s="145"/>
      <c r="C92" s="145"/>
      <c r="D92" s="145"/>
    </row>
    <row r="93" spans="1:4">
      <c r="A93" s="145"/>
      <c r="B93" s="145"/>
      <c r="C93" s="145"/>
      <c r="D93" s="145"/>
    </row>
    <row r="94" spans="1:4">
      <c r="A94" s="145"/>
      <c r="B94" s="145"/>
      <c r="C94" s="145"/>
      <c r="D94" s="145"/>
    </row>
    <row r="95" spans="1:4">
      <c r="A95" s="145"/>
      <c r="B95" s="145"/>
      <c r="C95" s="145"/>
      <c r="D95" s="145"/>
    </row>
    <row r="96" spans="1:4">
      <c r="A96" s="145"/>
      <c r="B96" s="145"/>
      <c r="C96" s="145"/>
      <c r="D96" s="145"/>
    </row>
    <row r="97" spans="1:4">
      <c r="A97" s="145"/>
      <c r="B97" s="145"/>
      <c r="C97" s="145"/>
      <c r="D97" s="145"/>
    </row>
    <row r="98" spans="1:4">
      <c r="A98" s="145"/>
      <c r="B98" s="145"/>
      <c r="C98" s="145"/>
      <c r="D98" s="145"/>
    </row>
    <row r="99" spans="1:4">
      <c r="A99" s="145"/>
      <c r="B99" s="145"/>
      <c r="C99" s="145"/>
      <c r="D99" s="145"/>
    </row>
    <row r="100" spans="1:4">
      <c r="A100" s="145"/>
      <c r="B100" s="145"/>
      <c r="C100" s="145"/>
      <c r="D100" s="145"/>
    </row>
    <row r="101" spans="1:4">
      <c r="A101" s="145"/>
      <c r="B101" s="145"/>
      <c r="C101" s="145"/>
      <c r="D101" s="145"/>
    </row>
    <row r="102" spans="1:4">
      <c r="A102" s="145"/>
      <c r="B102" s="145"/>
      <c r="C102" s="145"/>
      <c r="D102" s="145"/>
    </row>
    <row r="103" spans="1:4">
      <c r="A103" s="145"/>
      <c r="B103" s="145"/>
      <c r="C103" s="145"/>
      <c r="D103" s="145"/>
    </row>
    <row r="104" spans="1:4">
      <c r="A104" s="145"/>
      <c r="B104" s="145"/>
      <c r="C104" s="145"/>
      <c r="D104" s="145"/>
    </row>
    <row r="105" spans="1:4">
      <c r="A105" s="145"/>
      <c r="B105" s="145"/>
      <c r="C105" s="145"/>
      <c r="D105" s="145"/>
    </row>
    <row r="106" spans="1:4">
      <c r="A106" s="145"/>
      <c r="B106" s="145"/>
      <c r="C106" s="145"/>
      <c r="D106" s="145"/>
    </row>
    <row r="107" spans="1:4">
      <c r="A107" s="145"/>
      <c r="B107" s="145"/>
      <c r="C107" s="145"/>
      <c r="D107" s="145"/>
    </row>
    <row r="108" spans="1:4">
      <c r="A108" s="145"/>
      <c r="B108" s="145"/>
      <c r="C108" s="145"/>
      <c r="D108" s="145"/>
    </row>
    <row r="109" spans="1:4">
      <c r="A109" s="145"/>
      <c r="B109" s="145"/>
      <c r="C109" s="145"/>
      <c r="D109" s="145"/>
    </row>
    <row r="110" spans="1:4">
      <c r="A110" s="145"/>
      <c r="B110" s="145"/>
      <c r="C110" s="145"/>
      <c r="D110" s="145"/>
    </row>
    <row r="111" spans="1:4">
      <c r="A111" s="145"/>
      <c r="B111" s="145"/>
      <c r="C111" s="145"/>
      <c r="D111" s="145"/>
    </row>
    <row r="112" spans="1:4">
      <c r="A112" s="145"/>
      <c r="B112" s="145"/>
      <c r="C112" s="145"/>
      <c r="D112" s="145"/>
    </row>
    <row r="113" spans="1:4">
      <c r="A113" s="145"/>
      <c r="B113" s="145"/>
      <c r="C113" s="145"/>
      <c r="D113" s="145"/>
    </row>
    <row r="114" spans="1:4">
      <c r="A114" s="145"/>
      <c r="B114" s="145"/>
      <c r="C114" s="145"/>
      <c r="D114" s="145"/>
    </row>
    <row r="115" spans="1:4">
      <c r="A115" s="145"/>
      <c r="B115" s="145"/>
      <c r="C115" s="145"/>
      <c r="D115" s="145"/>
    </row>
    <row r="116" spans="1:4">
      <c r="A116" s="145"/>
      <c r="B116" s="145"/>
      <c r="C116" s="145"/>
      <c r="D116" s="145"/>
    </row>
    <row r="117" spans="1:4">
      <c r="A117" s="145"/>
      <c r="B117" s="145"/>
      <c r="C117" s="145"/>
      <c r="D117" s="145"/>
    </row>
    <row r="118" spans="1:4">
      <c r="A118" s="145"/>
      <c r="B118" s="145"/>
      <c r="C118" s="145"/>
      <c r="D118" s="145"/>
    </row>
    <row r="119" spans="1:4">
      <c r="A119" s="145"/>
      <c r="B119" s="145"/>
      <c r="C119" s="145"/>
      <c r="D119" s="145"/>
    </row>
    <row r="120" spans="1:4">
      <c r="A120" s="145"/>
      <c r="B120" s="145"/>
      <c r="C120" s="145"/>
      <c r="D120" s="145"/>
    </row>
    <row r="121" spans="1:4">
      <c r="A121" s="145"/>
      <c r="B121" s="145"/>
      <c r="C121" s="145"/>
      <c r="D121" s="145"/>
    </row>
    <row r="122" spans="1:4">
      <c r="A122" s="145"/>
      <c r="B122" s="145"/>
      <c r="C122" s="145"/>
      <c r="D122" s="145"/>
    </row>
    <row r="123" spans="1:4">
      <c r="A123" s="145"/>
      <c r="B123" s="145"/>
      <c r="C123" s="145"/>
      <c r="D123" s="145"/>
    </row>
    <row r="124" spans="1:4">
      <c r="A124" s="145"/>
      <c r="B124" s="145"/>
      <c r="C124" s="145"/>
      <c r="D124" s="145"/>
    </row>
    <row r="125" spans="1:4">
      <c r="A125" s="145"/>
      <c r="B125" s="145"/>
      <c r="C125" s="145"/>
      <c r="D125" s="145"/>
    </row>
    <row r="126" spans="1:4">
      <c r="A126" s="145"/>
      <c r="B126" s="145"/>
      <c r="C126" s="145"/>
      <c r="D126" s="145"/>
    </row>
    <row r="127" spans="1:4">
      <c r="A127" s="145"/>
      <c r="B127" s="145"/>
      <c r="C127" s="145"/>
      <c r="D127" s="145"/>
    </row>
    <row r="128" spans="1:4">
      <c r="A128" s="145"/>
      <c r="B128" s="145"/>
      <c r="C128" s="145"/>
      <c r="D128" s="145"/>
    </row>
    <row r="129" spans="1:4">
      <c r="A129" s="145"/>
      <c r="B129" s="145"/>
      <c r="C129" s="145"/>
      <c r="D129" s="145"/>
    </row>
    <row r="130" spans="1:4">
      <c r="A130" s="145"/>
      <c r="B130" s="145"/>
      <c r="C130" s="145"/>
      <c r="D130" s="145"/>
    </row>
    <row r="131" spans="1:4">
      <c r="A131" s="145"/>
      <c r="B131" s="145"/>
      <c r="C131" s="145"/>
      <c r="D131" s="145"/>
    </row>
    <row r="132" spans="1:4">
      <c r="A132" s="145"/>
      <c r="B132" s="145"/>
      <c r="C132" s="145"/>
      <c r="D132" s="145"/>
    </row>
    <row r="133" spans="1:4">
      <c r="A133" s="145"/>
      <c r="B133" s="145"/>
      <c r="C133" s="145"/>
      <c r="D133" s="145"/>
    </row>
    <row r="134" spans="1:4">
      <c r="A134" s="145"/>
      <c r="B134" s="145"/>
      <c r="C134" s="145"/>
      <c r="D134" s="145"/>
    </row>
    <row r="135" spans="1:4">
      <c r="A135" s="145"/>
      <c r="B135" s="145"/>
      <c r="C135" s="145"/>
      <c r="D135" s="145"/>
    </row>
    <row r="136" spans="1:4">
      <c r="A136" s="145"/>
      <c r="B136" s="145"/>
      <c r="C136" s="145"/>
      <c r="D136" s="145"/>
    </row>
    <row r="137" spans="1:4">
      <c r="A137" s="145"/>
      <c r="B137" s="145"/>
      <c r="C137" s="145"/>
      <c r="D137" s="145"/>
    </row>
    <row r="138" spans="1:4">
      <c r="A138" s="145"/>
      <c r="B138" s="145"/>
      <c r="C138" s="145"/>
      <c r="D138" s="145"/>
    </row>
    <row r="139" spans="1:4">
      <c r="A139" s="145"/>
      <c r="B139" s="145"/>
      <c r="C139" s="145"/>
      <c r="D139" s="145"/>
    </row>
    <row r="140" spans="1:4">
      <c r="A140" s="145"/>
      <c r="B140" s="145"/>
      <c r="C140" s="145"/>
      <c r="D140" s="145"/>
    </row>
    <row r="141" spans="1:4">
      <c r="A141" s="145"/>
      <c r="B141" s="145"/>
      <c r="C141" s="145"/>
      <c r="D141" s="145"/>
    </row>
    <row r="142" spans="1:4">
      <c r="A142" s="145"/>
      <c r="B142" s="145"/>
      <c r="C142" s="145"/>
      <c r="D142" s="145"/>
    </row>
    <row r="143" spans="1:4">
      <c r="A143" s="145"/>
      <c r="B143" s="145"/>
      <c r="C143" s="145"/>
      <c r="D143" s="145"/>
    </row>
    <row r="144" spans="1:4">
      <c r="A144" s="145"/>
      <c r="B144" s="145"/>
      <c r="C144" s="145"/>
      <c r="D144" s="145"/>
    </row>
    <row r="145" spans="1:4">
      <c r="A145" s="145"/>
      <c r="B145" s="145"/>
      <c r="C145" s="145"/>
      <c r="D145" s="145"/>
    </row>
    <row r="146" spans="1:4">
      <c r="A146" s="145"/>
      <c r="B146" s="145"/>
      <c r="C146" s="145"/>
      <c r="D146" s="145"/>
    </row>
    <row r="147" spans="1:4">
      <c r="A147" s="145"/>
      <c r="B147" s="145"/>
      <c r="C147" s="145"/>
      <c r="D147" s="145"/>
    </row>
    <row r="148" spans="1:4">
      <c r="A148" s="145"/>
      <c r="B148" s="145"/>
      <c r="C148" s="145"/>
      <c r="D148" s="145"/>
    </row>
    <row r="149" spans="1:4">
      <c r="A149" s="145"/>
      <c r="B149" s="145"/>
      <c r="C149" s="145"/>
      <c r="D149" s="145"/>
    </row>
    <row r="150" spans="1:4">
      <c r="A150" s="145"/>
      <c r="B150" s="145"/>
      <c r="C150" s="145"/>
      <c r="D150" s="145"/>
    </row>
    <row r="151" spans="1:4">
      <c r="A151" s="145"/>
      <c r="B151" s="145"/>
      <c r="C151" s="145"/>
      <c r="D151" s="145"/>
    </row>
    <row r="152" spans="1:4">
      <c r="A152" s="145"/>
      <c r="B152" s="145"/>
      <c r="C152" s="145"/>
      <c r="D152" s="145"/>
    </row>
    <row r="153" spans="1:4">
      <c r="A153" s="145"/>
      <c r="B153" s="145"/>
      <c r="C153" s="145"/>
      <c r="D153" s="145"/>
    </row>
    <row r="154" spans="1:4">
      <c r="A154" s="145"/>
      <c r="B154" s="145"/>
      <c r="C154" s="145"/>
      <c r="D154" s="145"/>
    </row>
    <row r="155" spans="1:4">
      <c r="A155" s="145"/>
      <c r="B155" s="145"/>
      <c r="C155" s="145"/>
      <c r="D155" s="145"/>
    </row>
    <row r="156" spans="1:4">
      <c r="A156" s="145"/>
      <c r="B156" s="145"/>
      <c r="C156" s="145"/>
      <c r="D156" s="145"/>
    </row>
    <row r="157" spans="1:4">
      <c r="A157" s="145"/>
      <c r="B157" s="145"/>
      <c r="C157" s="145"/>
      <c r="D157" s="145"/>
    </row>
    <row r="158" spans="1:4">
      <c r="A158" s="145"/>
      <c r="B158" s="145"/>
      <c r="C158" s="145"/>
      <c r="D158" s="145"/>
    </row>
    <row r="159" spans="1:4">
      <c r="A159" s="145"/>
      <c r="B159" s="145"/>
      <c r="C159" s="145"/>
      <c r="D159" s="145"/>
    </row>
    <row r="160" spans="1:4">
      <c r="A160" s="145"/>
      <c r="B160" s="145"/>
      <c r="C160" s="145"/>
      <c r="D160" s="145"/>
    </row>
    <row r="161" spans="1:4">
      <c r="A161" s="145"/>
      <c r="B161" s="145"/>
      <c r="C161" s="145"/>
      <c r="D161" s="145"/>
    </row>
    <row r="162" spans="1:4">
      <c r="A162" s="145"/>
      <c r="B162" s="145"/>
      <c r="C162" s="145"/>
      <c r="D162" s="145"/>
    </row>
    <row r="163" spans="1:4">
      <c r="A163" s="145"/>
      <c r="B163" s="145"/>
      <c r="C163" s="145"/>
      <c r="D163" s="145"/>
    </row>
    <row r="164" spans="1:4">
      <c r="A164" s="145"/>
      <c r="B164" s="145"/>
      <c r="C164" s="145"/>
      <c r="D164" s="145"/>
    </row>
    <row r="165" spans="1:4">
      <c r="A165" s="145"/>
      <c r="B165" s="145"/>
      <c r="C165" s="145"/>
      <c r="D165" s="145"/>
    </row>
    <row r="166" spans="1:4">
      <c r="A166" s="145"/>
      <c r="B166" s="145"/>
      <c r="C166" s="145"/>
      <c r="D166" s="145"/>
    </row>
    <row r="167" spans="1:4">
      <c r="A167" s="145"/>
      <c r="B167" s="145"/>
      <c r="C167" s="145"/>
      <c r="D167" s="145"/>
    </row>
    <row r="168" spans="1:4">
      <c r="A168" s="145"/>
      <c r="B168" s="145"/>
      <c r="C168" s="145"/>
      <c r="D168" s="145"/>
    </row>
    <row r="169" spans="1:4">
      <c r="A169" s="145"/>
      <c r="B169" s="145"/>
      <c r="C169" s="145"/>
      <c r="D169" s="145"/>
    </row>
    <row r="170" spans="1:4">
      <c r="A170" s="145"/>
      <c r="B170" s="145"/>
      <c r="C170" s="145"/>
      <c r="D170" s="145"/>
    </row>
    <row r="171" spans="1:4">
      <c r="A171" s="145"/>
      <c r="B171" s="145"/>
      <c r="C171" s="145"/>
      <c r="D171" s="145"/>
    </row>
    <row r="172" spans="1:4">
      <c r="A172" s="145"/>
      <c r="B172" s="145"/>
      <c r="C172" s="145"/>
      <c r="D172" s="145"/>
    </row>
    <row r="173" spans="1:4">
      <c r="A173" s="145"/>
      <c r="B173" s="145"/>
      <c r="C173" s="145"/>
      <c r="D173" s="145"/>
    </row>
    <row r="174" spans="1:4">
      <c r="A174" s="145"/>
      <c r="B174" s="145"/>
      <c r="C174" s="145"/>
      <c r="D174" s="145"/>
    </row>
    <row r="175" spans="1:4">
      <c r="A175" s="145"/>
      <c r="B175" s="145"/>
      <c r="C175" s="145"/>
      <c r="D175" s="145"/>
    </row>
    <row r="176" spans="1:4">
      <c r="A176" s="145"/>
      <c r="B176" s="145"/>
      <c r="C176" s="145"/>
      <c r="D176" s="145"/>
    </row>
    <row r="177" spans="1:4">
      <c r="A177" s="145"/>
      <c r="B177" s="145"/>
      <c r="C177" s="145"/>
      <c r="D177" s="145"/>
    </row>
    <row r="178" spans="1:4">
      <c r="A178" s="145"/>
      <c r="B178" s="145"/>
      <c r="C178" s="145"/>
      <c r="D178" s="145"/>
    </row>
    <row r="179" spans="1:4">
      <c r="A179" s="145"/>
      <c r="B179" s="145"/>
      <c r="C179" s="145"/>
      <c r="D179" s="145"/>
    </row>
    <row r="180" spans="1:4">
      <c r="A180" s="145"/>
      <c r="B180" s="145"/>
      <c r="C180" s="145"/>
      <c r="D180" s="145"/>
    </row>
    <row r="181" spans="1:4">
      <c r="A181" s="145"/>
      <c r="B181" s="145"/>
      <c r="C181" s="145"/>
      <c r="D181" s="145"/>
    </row>
    <row r="182" spans="1:4">
      <c r="A182" s="145"/>
      <c r="B182" s="145"/>
      <c r="C182" s="145"/>
      <c r="D182" s="145"/>
    </row>
    <row r="183" spans="1:4">
      <c r="A183" s="145"/>
      <c r="B183" s="145"/>
      <c r="C183" s="145"/>
      <c r="D183" s="145"/>
    </row>
    <row r="184" spans="1:4">
      <c r="A184" s="145"/>
      <c r="B184" s="145"/>
      <c r="C184" s="145"/>
      <c r="D184" s="145"/>
    </row>
    <row r="185" spans="1:4">
      <c r="A185" s="145"/>
      <c r="B185" s="145"/>
      <c r="C185" s="145"/>
      <c r="D185" s="145"/>
    </row>
    <row r="186" spans="1:4">
      <c r="A186" s="145"/>
      <c r="B186" s="145"/>
      <c r="C186" s="145"/>
      <c r="D186" s="145"/>
    </row>
    <row r="187" spans="1:4">
      <c r="A187" s="145"/>
      <c r="B187" s="145"/>
      <c r="C187" s="145"/>
      <c r="D187" s="145"/>
    </row>
    <row r="188" spans="1:4">
      <c r="A188" s="145"/>
      <c r="B188" s="145"/>
      <c r="C188" s="145"/>
      <c r="D188" s="145"/>
    </row>
    <row r="189" spans="1:4">
      <c r="A189" s="145"/>
      <c r="B189" s="145"/>
      <c r="C189" s="145"/>
      <c r="D189" s="145"/>
    </row>
    <row r="190" spans="1:4">
      <c r="A190" s="145"/>
      <c r="B190" s="145"/>
      <c r="C190" s="145"/>
      <c r="D190" s="145"/>
    </row>
    <row r="191" spans="1:4">
      <c r="A191" s="145"/>
      <c r="B191" s="145"/>
      <c r="C191" s="145"/>
      <c r="D191" s="145"/>
    </row>
    <row r="192" spans="1:4">
      <c r="A192" s="145"/>
      <c r="B192" s="145"/>
      <c r="C192" s="145"/>
      <c r="D192" s="145"/>
    </row>
    <row r="193" spans="1:4">
      <c r="A193" s="145"/>
      <c r="B193" s="145"/>
      <c r="C193" s="145"/>
      <c r="D193" s="145"/>
    </row>
    <row r="194" spans="1:4">
      <c r="A194" s="145"/>
      <c r="B194" s="145"/>
      <c r="C194" s="145"/>
      <c r="D194" s="145"/>
    </row>
    <row r="195" spans="1:4">
      <c r="A195" s="145"/>
      <c r="B195" s="145"/>
      <c r="C195" s="145"/>
      <c r="D195" s="145"/>
    </row>
    <row r="196" spans="1:4">
      <c r="A196" s="145"/>
      <c r="B196" s="145"/>
      <c r="C196" s="145"/>
      <c r="D196" s="145"/>
    </row>
    <row r="197" spans="1:4">
      <c r="A197" s="145"/>
      <c r="B197" s="145"/>
      <c r="C197" s="145"/>
      <c r="D197" s="145"/>
    </row>
    <row r="198" spans="1:4">
      <c r="A198" s="145"/>
      <c r="B198" s="145"/>
      <c r="C198" s="145"/>
      <c r="D198" s="145"/>
    </row>
    <row r="199" spans="1:4">
      <c r="A199" s="145"/>
      <c r="B199" s="145"/>
      <c r="C199" s="145"/>
      <c r="D199" s="145"/>
    </row>
    <row r="200" spans="1:4">
      <c r="A200" s="145"/>
      <c r="B200" s="145"/>
      <c r="C200" s="145"/>
      <c r="D200" s="145"/>
    </row>
    <row r="201" spans="1:4">
      <c r="A201" s="145"/>
      <c r="B201" s="145"/>
      <c r="C201" s="145"/>
      <c r="D201" s="145"/>
    </row>
    <row r="202" spans="1:4">
      <c r="A202" s="145"/>
      <c r="B202" s="145"/>
      <c r="C202" s="145"/>
      <c r="D202" s="145"/>
    </row>
    <row r="203" spans="1:4">
      <c r="A203" s="145"/>
      <c r="B203" s="145"/>
      <c r="C203" s="145"/>
      <c r="D203" s="145"/>
    </row>
    <row r="204" spans="1:4">
      <c r="A204" s="145"/>
      <c r="B204" s="145"/>
      <c r="C204" s="145"/>
      <c r="D204" s="145"/>
    </row>
    <row r="205" spans="1:4">
      <c r="A205" s="145"/>
      <c r="B205" s="145"/>
      <c r="C205" s="145"/>
      <c r="D205" s="145"/>
    </row>
    <row r="206" spans="1:4">
      <c r="A206" s="145"/>
      <c r="B206" s="145"/>
      <c r="C206" s="145"/>
      <c r="D206" s="145"/>
    </row>
    <row r="207" spans="1:4">
      <c r="A207" s="145"/>
      <c r="B207" s="145"/>
      <c r="C207" s="145"/>
      <c r="D207" s="145"/>
    </row>
    <row r="208" spans="1:4">
      <c r="A208" s="145"/>
      <c r="B208" s="145"/>
      <c r="C208" s="145"/>
      <c r="D208" s="145"/>
    </row>
    <row r="209" spans="1:4">
      <c r="A209" s="145"/>
      <c r="B209" s="145"/>
      <c r="C209" s="145"/>
      <c r="D209" s="145"/>
    </row>
    <row r="210" spans="1:4">
      <c r="A210" s="145"/>
      <c r="B210" s="145"/>
      <c r="C210" s="145"/>
      <c r="D210" s="145"/>
    </row>
    <row r="211" spans="1:4">
      <c r="A211" s="145"/>
      <c r="B211" s="145"/>
      <c r="C211" s="145"/>
      <c r="D211" s="145"/>
    </row>
    <row r="212" spans="1:4">
      <c r="A212" s="145"/>
      <c r="B212" s="145"/>
      <c r="C212" s="145"/>
      <c r="D212" s="145"/>
    </row>
    <row r="213" spans="1:4">
      <c r="A213" s="145"/>
      <c r="B213" s="145"/>
      <c r="C213" s="145"/>
      <c r="D213" s="145"/>
    </row>
    <row r="214" spans="1:4">
      <c r="A214" s="145"/>
      <c r="B214" s="145"/>
      <c r="C214" s="145"/>
      <c r="D214" s="145"/>
    </row>
    <row r="215" spans="1:4">
      <c r="A215" s="145"/>
      <c r="B215" s="145"/>
      <c r="C215" s="145"/>
      <c r="D215" s="145"/>
    </row>
    <row r="216" spans="1:4">
      <c r="A216" s="145"/>
      <c r="B216" s="145"/>
      <c r="C216" s="145"/>
      <c r="D216" s="145"/>
    </row>
    <row r="217" spans="1:4">
      <c r="A217" s="145"/>
      <c r="B217" s="145"/>
      <c r="C217" s="145"/>
      <c r="D217" s="145"/>
    </row>
    <row r="218" spans="1:4">
      <c r="A218" s="145"/>
      <c r="B218" s="145"/>
      <c r="C218" s="145"/>
      <c r="D218" s="145"/>
    </row>
    <row r="219" spans="1:4">
      <c r="A219" s="145"/>
      <c r="B219" s="145"/>
      <c r="C219" s="145"/>
      <c r="D219" s="145"/>
    </row>
    <row r="220" spans="1:4">
      <c r="A220" s="145"/>
      <c r="B220" s="145"/>
      <c r="C220" s="145"/>
      <c r="D220" s="145"/>
    </row>
    <row r="221" spans="1:4">
      <c r="A221" s="145"/>
      <c r="B221" s="145"/>
      <c r="C221" s="145"/>
      <c r="D221" s="145"/>
    </row>
    <row r="222" spans="1:4">
      <c r="A222" s="145"/>
      <c r="B222" s="145"/>
      <c r="C222" s="145"/>
      <c r="D222" s="145"/>
    </row>
    <row r="223" spans="1:4">
      <c r="A223" s="145"/>
      <c r="B223" s="145"/>
      <c r="C223" s="145"/>
      <c r="D223" s="145"/>
    </row>
    <row r="224" spans="1:4">
      <c r="A224" s="145"/>
      <c r="B224" s="145"/>
      <c r="C224" s="145"/>
      <c r="D224" s="145"/>
    </row>
    <row r="225" spans="1:4">
      <c r="A225" s="145"/>
      <c r="B225" s="145"/>
      <c r="C225" s="145"/>
      <c r="D225" s="145"/>
    </row>
    <row r="226" spans="1:4">
      <c r="A226" s="145"/>
      <c r="B226" s="145"/>
      <c r="C226" s="145"/>
      <c r="D226" s="145"/>
    </row>
    <row r="227" spans="1:4">
      <c r="A227" s="145"/>
      <c r="B227" s="145"/>
      <c r="C227" s="145"/>
      <c r="D227" s="145"/>
    </row>
    <row r="228" spans="1:4">
      <c r="A228" s="145"/>
      <c r="B228" s="145"/>
      <c r="C228" s="145"/>
      <c r="D228" s="145"/>
    </row>
    <row r="229" spans="1:4">
      <c r="A229" s="145"/>
      <c r="B229" s="145"/>
      <c r="C229" s="145"/>
      <c r="D229" s="145"/>
    </row>
    <row r="230" spans="1:4">
      <c r="A230" s="145"/>
      <c r="B230" s="145"/>
      <c r="C230" s="145"/>
      <c r="D230" s="145"/>
    </row>
    <row r="231" spans="1:4">
      <c r="A231" s="145"/>
      <c r="B231" s="145"/>
      <c r="C231" s="145"/>
      <c r="D231" s="145"/>
    </row>
    <row r="232" spans="1:4">
      <c r="A232" s="145"/>
      <c r="B232" s="145"/>
      <c r="C232" s="145"/>
      <c r="D232" s="145"/>
    </row>
    <row r="233" spans="1:4">
      <c r="A233" s="145"/>
      <c r="B233" s="145"/>
      <c r="C233" s="145"/>
      <c r="D233" s="145"/>
    </row>
    <row r="234" spans="1:4">
      <c r="A234" s="145"/>
      <c r="B234" s="145"/>
      <c r="C234" s="145"/>
      <c r="D234" s="145"/>
    </row>
    <row r="235" spans="1:4">
      <c r="A235" s="145"/>
      <c r="B235" s="145"/>
      <c r="C235" s="145"/>
      <c r="D235" s="145"/>
    </row>
    <row r="236" spans="1:4">
      <c r="A236" s="145"/>
      <c r="B236" s="145"/>
      <c r="C236" s="145"/>
      <c r="D236" s="145"/>
    </row>
    <row r="237" spans="1:4">
      <c r="A237" s="145"/>
      <c r="B237" s="145"/>
      <c r="C237" s="145"/>
      <c r="D237" s="145"/>
    </row>
    <row r="238" spans="1:4">
      <c r="A238" s="145"/>
      <c r="B238" s="145"/>
      <c r="C238" s="145"/>
      <c r="D238" s="145"/>
    </row>
    <row r="239" spans="1:4">
      <c r="A239" s="145"/>
      <c r="B239" s="145"/>
      <c r="C239" s="145"/>
      <c r="D239" s="145"/>
    </row>
    <row r="240" spans="1:4">
      <c r="A240" s="145"/>
      <c r="B240" s="145"/>
      <c r="C240" s="145"/>
      <c r="D240" s="145"/>
    </row>
    <row r="241" spans="1:4">
      <c r="A241" s="145"/>
      <c r="B241" s="145"/>
      <c r="C241" s="145"/>
      <c r="D241" s="145"/>
    </row>
    <row r="242" spans="1:4">
      <c r="A242" s="145"/>
      <c r="B242" s="145"/>
      <c r="C242" s="145"/>
      <c r="D242" s="145"/>
    </row>
    <row r="243" spans="1:4">
      <c r="A243" s="145"/>
      <c r="B243" s="145"/>
      <c r="C243" s="145"/>
      <c r="D243" s="145"/>
    </row>
    <row r="244" spans="1:4">
      <c r="A244" s="145"/>
      <c r="B244" s="145"/>
      <c r="C244" s="145"/>
      <c r="D244" s="145"/>
    </row>
    <row r="245" spans="1:4">
      <c r="A245" s="145"/>
      <c r="B245" s="145"/>
      <c r="C245" s="145"/>
      <c r="D245" s="145"/>
    </row>
    <row r="246" spans="1:4">
      <c r="A246" s="145"/>
      <c r="B246" s="145"/>
      <c r="C246" s="145"/>
      <c r="D246" s="145"/>
    </row>
    <row r="247" spans="1:4">
      <c r="A247" s="145"/>
      <c r="B247" s="145"/>
      <c r="C247" s="145"/>
      <c r="D247" s="145"/>
    </row>
    <row r="248" spans="1:4">
      <c r="A248" s="145"/>
      <c r="B248" s="145"/>
      <c r="C248" s="145"/>
      <c r="D248" s="145"/>
    </row>
    <row r="249" spans="1:4">
      <c r="A249" s="145"/>
      <c r="B249" s="145"/>
      <c r="C249" s="145"/>
      <c r="D249" s="145"/>
    </row>
    <row r="250" spans="1:4">
      <c r="A250" s="145"/>
      <c r="B250" s="145"/>
      <c r="C250" s="145"/>
      <c r="D250" s="145"/>
    </row>
    <row r="251" spans="1:4">
      <c r="A251" s="145"/>
      <c r="B251" s="145"/>
      <c r="C251" s="145"/>
      <c r="D251" s="145"/>
    </row>
    <row r="252" spans="1:4">
      <c r="A252" s="145"/>
      <c r="B252" s="145"/>
      <c r="C252" s="145"/>
      <c r="D252" s="145"/>
    </row>
    <row r="253" spans="1:4">
      <c r="A253" s="145"/>
      <c r="B253" s="145"/>
      <c r="C253" s="145"/>
      <c r="D253" s="145"/>
    </row>
    <row r="254" spans="1:4">
      <c r="A254" s="145"/>
      <c r="B254" s="145"/>
      <c r="C254" s="145"/>
      <c r="D254" s="145"/>
    </row>
    <row r="255" spans="1:4">
      <c r="A255" s="145"/>
      <c r="B255" s="145"/>
      <c r="C255" s="145"/>
      <c r="D255" s="145"/>
    </row>
    <row r="256" spans="1:4">
      <c r="A256" s="145"/>
      <c r="B256" s="145"/>
      <c r="C256" s="145"/>
      <c r="D256" s="145"/>
    </row>
    <row r="257" spans="1:4">
      <c r="A257" s="145"/>
      <c r="B257" s="145"/>
      <c r="C257" s="145"/>
      <c r="D257" s="145"/>
    </row>
    <row r="258" spans="1:4">
      <c r="A258" s="145"/>
      <c r="B258" s="145"/>
      <c r="C258" s="145"/>
      <c r="D258" s="145"/>
    </row>
    <row r="259" spans="1:4">
      <c r="A259" s="145"/>
      <c r="B259" s="145"/>
      <c r="C259" s="145"/>
      <c r="D259" s="145"/>
    </row>
    <row r="260" spans="1:4">
      <c r="A260" s="145"/>
      <c r="B260" s="145"/>
      <c r="C260" s="145"/>
      <c r="D260" s="145"/>
    </row>
    <row r="261" spans="1:4">
      <c r="A261" s="145"/>
      <c r="B261" s="145"/>
      <c r="C261" s="145"/>
      <c r="D261" s="145"/>
    </row>
    <row r="262" spans="1:4">
      <c r="A262" s="145"/>
      <c r="B262" s="145"/>
      <c r="C262" s="145"/>
      <c r="D262" s="145"/>
    </row>
    <row r="263" spans="1:4">
      <c r="A263" s="145"/>
      <c r="B263" s="145"/>
      <c r="C263" s="145"/>
      <c r="D263" s="145"/>
    </row>
    <row r="264" spans="1:4">
      <c r="A264" s="145"/>
      <c r="B264" s="145"/>
      <c r="C264" s="145"/>
      <c r="D264" s="145"/>
    </row>
    <row r="265" spans="1:4">
      <c r="A265" s="145"/>
      <c r="B265" s="145"/>
      <c r="C265" s="145"/>
      <c r="D265" s="145"/>
    </row>
    <row r="266" spans="1:4">
      <c r="A266" s="145"/>
      <c r="B266" s="145"/>
      <c r="C266" s="145"/>
      <c r="D266" s="145"/>
    </row>
    <row r="267" spans="1:4">
      <c r="A267" s="145"/>
      <c r="B267" s="145"/>
      <c r="C267" s="145"/>
      <c r="D267" s="145"/>
    </row>
    <row r="268" spans="1:4">
      <c r="A268" s="145"/>
      <c r="B268" s="145"/>
      <c r="C268" s="145"/>
      <c r="D268" s="145"/>
    </row>
    <row r="269" spans="1:4">
      <c r="A269" s="145"/>
      <c r="B269" s="145"/>
      <c r="C269" s="145"/>
      <c r="D269" s="145"/>
    </row>
    <row r="270" spans="1:4">
      <c r="A270" s="145"/>
      <c r="B270" s="145"/>
      <c r="C270" s="145"/>
      <c r="D270" s="145"/>
    </row>
    <row r="271" spans="1:4">
      <c r="A271" s="145"/>
      <c r="B271" s="145"/>
      <c r="C271" s="145"/>
      <c r="D271" s="145"/>
    </row>
    <row r="272" spans="1:4">
      <c r="A272" s="145"/>
      <c r="B272" s="145"/>
      <c r="C272" s="145"/>
      <c r="D272" s="145"/>
    </row>
    <row r="273" spans="1:4">
      <c r="A273" s="145"/>
      <c r="B273" s="145"/>
      <c r="C273" s="145"/>
      <c r="D273" s="145"/>
    </row>
    <row r="274" spans="1:4">
      <c r="A274" s="145"/>
      <c r="B274" s="145"/>
      <c r="C274" s="145"/>
      <c r="D274" s="145"/>
    </row>
    <row r="275" spans="1:4">
      <c r="A275" s="145"/>
      <c r="B275" s="145"/>
      <c r="C275" s="145"/>
      <c r="D275" s="145"/>
    </row>
    <row r="276" spans="1:4">
      <c r="A276" s="145"/>
      <c r="B276" s="145"/>
      <c r="C276" s="145"/>
      <c r="D276" s="145"/>
    </row>
    <row r="277" spans="1:4">
      <c r="A277" s="145"/>
      <c r="B277" s="145"/>
      <c r="C277" s="145"/>
      <c r="D277" s="145"/>
    </row>
    <row r="278" spans="1:4">
      <c r="A278" s="145"/>
      <c r="B278" s="145"/>
      <c r="C278" s="145"/>
      <c r="D278" s="145"/>
    </row>
    <row r="279" spans="1:4">
      <c r="A279" s="145"/>
      <c r="B279" s="145"/>
      <c r="C279" s="145"/>
      <c r="D279" s="145"/>
    </row>
    <row r="280" spans="1:4">
      <c r="A280" s="145"/>
      <c r="B280" s="145"/>
      <c r="C280" s="145"/>
      <c r="D280" s="145"/>
    </row>
    <row r="281" spans="1:4">
      <c r="A281" s="145"/>
      <c r="B281" s="145"/>
      <c r="C281" s="145"/>
      <c r="D281" s="145"/>
    </row>
    <row r="282" spans="1:4">
      <c r="A282" s="145"/>
      <c r="B282" s="145"/>
      <c r="C282" s="145"/>
      <c r="D282" s="145"/>
    </row>
    <row r="283" spans="1:4">
      <c r="A283" s="145"/>
      <c r="B283" s="145"/>
      <c r="C283" s="145"/>
      <c r="D283" s="145"/>
    </row>
    <row r="284" spans="1:4">
      <c r="A284" s="145"/>
      <c r="B284" s="145"/>
      <c r="C284" s="145"/>
      <c r="D284" s="145"/>
    </row>
    <row r="285" spans="1:4">
      <c r="A285" s="145"/>
      <c r="B285" s="145"/>
      <c r="C285" s="145"/>
      <c r="D285" s="145"/>
    </row>
    <row r="286" spans="1:4">
      <c r="A286" s="145"/>
      <c r="B286" s="145"/>
      <c r="C286" s="145"/>
      <c r="D286" s="145"/>
    </row>
    <row r="287" spans="1:4">
      <c r="A287" s="145"/>
      <c r="B287" s="145"/>
      <c r="C287" s="145"/>
      <c r="D287" s="145"/>
    </row>
    <row r="288" spans="1:4">
      <c r="A288" s="145"/>
      <c r="B288" s="145"/>
      <c r="C288" s="145"/>
      <c r="D288" s="145"/>
    </row>
    <row r="289" spans="1:4">
      <c r="A289" s="145"/>
      <c r="B289" s="145"/>
      <c r="C289" s="145"/>
      <c r="D289" s="145"/>
    </row>
    <row r="290" spans="1:4">
      <c r="A290" s="145"/>
      <c r="B290" s="145"/>
      <c r="C290" s="145"/>
      <c r="D290" s="145"/>
    </row>
    <row r="291" spans="1:4">
      <c r="A291" s="145"/>
      <c r="B291" s="145"/>
      <c r="C291" s="145"/>
      <c r="D291" s="145"/>
    </row>
    <row r="292" spans="1:4">
      <c r="A292" s="145"/>
      <c r="B292" s="145"/>
      <c r="C292" s="145"/>
      <c r="D292" s="145"/>
    </row>
    <row r="293" spans="1:4">
      <c r="A293" s="145"/>
      <c r="B293" s="145"/>
      <c r="C293" s="145"/>
      <c r="D293" s="145"/>
    </row>
    <row r="294" spans="1:4">
      <c r="A294" s="145"/>
      <c r="B294" s="145"/>
      <c r="C294" s="145"/>
      <c r="D294" s="145"/>
    </row>
    <row r="295" spans="1:4">
      <c r="A295" s="145"/>
      <c r="B295" s="145"/>
      <c r="C295" s="145"/>
      <c r="D295" s="145"/>
    </row>
    <row r="296" spans="1:4">
      <c r="A296" s="145"/>
      <c r="B296" s="145"/>
      <c r="C296" s="145"/>
      <c r="D296" s="145"/>
    </row>
    <row r="297" spans="1:4">
      <c r="A297" s="145"/>
      <c r="B297" s="145"/>
      <c r="C297" s="145"/>
      <c r="D297" s="145"/>
    </row>
    <row r="298" spans="1:4">
      <c r="A298" s="145"/>
      <c r="B298" s="145"/>
      <c r="C298" s="145"/>
      <c r="D298" s="145"/>
    </row>
    <row r="299" spans="1:4">
      <c r="A299" s="145"/>
      <c r="B299" s="145"/>
      <c r="C299" s="145"/>
      <c r="D299" s="145"/>
    </row>
    <row r="300" spans="1:4">
      <c r="A300" s="145"/>
      <c r="B300" s="145"/>
      <c r="C300" s="145"/>
      <c r="D300" s="145"/>
    </row>
    <row r="301" spans="1:4">
      <c r="A301" s="145"/>
      <c r="B301" s="145"/>
      <c r="C301" s="145"/>
      <c r="D301" s="145"/>
    </row>
    <row r="302" spans="1:4">
      <c r="A302" s="145"/>
      <c r="B302" s="145"/>
      <c r="C302" s="145"/>
      <c r="D302" s="145"/>
    </row>
    <row r="303" spans="1:4">
      <c r="A303" s="145"/>
      <c r="B303" s="145"/>
      <c r="C303" s="145"/>
      <c r="D303" s="145"/>
    </row>
    <row r="304" spans="1:4">
      <c r="A304" s="145"/>
      <c r="B304" s="145"/>
      <c r="C304" s="145"/>
      <c r="D304" s="145"/>
    </row>
    <row r="305" spans="1:4">
      <c r="A305" s="145"/>
      <c r="B305" s="145"/>
      <c r="C305" s="145"/>
      <c r="D305" s="145"/>
    </row>
    <row r="306" spans="1:4">
      <c r="A306" s="145"/>
      <c r="B306" s="145"/>
      <c r="C306" s="145"/>
      <c r="D306" s="145"/>
    </row>
    <row r="307" spans="1:4">
      <c r="A307" s="145"/>
      <c r="B307" s="145"/>
      <c r="C307" s="145"/>
      <c r="D307" s="145"/>
    </row>
    <row r="308" spans="1:4">
      <c r="A308" s="145"/>
      <c r="B308" s="145"/>
      <c r="C308" s="145"/>
      <c r="D308" s="145"/>
    </row>
    <row r="309" spans="1:4">
      <c r="A309" s="145"/>
      <c r="B309" s="145"/>
      <c r="C309" s="145"/>
      <c r="D309" s="145"/>
    </row>
    <row r="310" spans="1:4">
      <c r="A310" s="145"/>
      <c r="B310" s="145"/>
      <c r="C310" s="145"/>
      <c r="D310" s="145"/>
    </row>
    <row r="311" spans="1:4">
      <c r="A311" s="145"/>
      <c r="B311" s="145"/>
      <c r="C311" s="145"/>
      <c r="D311" s="145"/>
    </row>
    <row r="312" spans="1:4">
      <c r="A312" s="145"/>
      <c r="B312" s="145"/>
      <c r="C312" s="145"/>
      <c r="D312" s="145"/>
    </row>
    <row r="313" spans="1:4">
      <c r="A313" s="145"/>
      <c r="B313" s="145"/>
      <c r="C313" s="145"/>
      <c r="D313" s="145"/>
    </row>
    <row r="314" spans="1:4">
      <c r="A314" s="145"/>
      <c r="B314" s="145"/>
      <c r="C314" s="145"/>
      <c r="D314" s="145"/>
    </row>
    <row r="315" spans="1:4">
      <c r="A315" s="145"/>
      <c r="B315" s="145"/>
      <c r="C315" s="145"/>
      <c r="D315" s="145"/>
    </row>
    <row r="316" spans="1:4">
      <c r="A316" s="145"/>
      <c r="B316" s="145"/>
      <c r="C316" s="145"/>
      <c r="D316" s="145"/>
    </row>
    <row r="317" spans="1:4">
      <c r="A317" s="145"/>
      <c r="B317" s="145"/>
      <c r="C317" s="145"/>
      <c r="D317" s="145"/>
    </row>
    <row r="318" spans="1:4">
      <c r="A318" s="145"/>
      <c r="B318" s="145"/>
      <c r="C318" s="145"/>
      <c r="D318" s="145"/>
    </row>
    <row r="319" spans="1:4">
      <c r="A319" s="145"/>
      <c r="B319" s="145"/>
      <c r="C319" s="145"/>
      <c r="D319" s="145"/>
    </row>
    <row r="320" spans="1:4">
      <c r="A320" s="145"/>
      <c r="B320" s="145"/>
      <c r="C320" s="145"/>
      <c r="D320" s="145"/>
    </row>
    <row r="321" spans="1:4">
      <c r="A321" s="145"/>
      <c r="B321" s="145"/>
      <c r="C321" s="145"/>
      <c r="D321" s="145"/>
    </row>
    <row r="322" spans="1:4">
      <c r="A322" s="145"/>
      <c r="B322" s="145"/>
      <c r="C322" s="145"/>
      <c r="D322" s="145"/>
    </row>
    <row r="323" spans="1:4">
      <c r="A323" s="145"/>
      <c r="B323" s="145"/>
      <c r="C323" s="145"/>
      <c r="D323" s="145"/>
    </row>
    <row r="324" spans="1:4">
      <c r="A324" s="145"/>
      <c r="B324" s="145"/>
      <c r="C324" s="145"/>
      <c r="D324" s="145"/>
    </row>
    <row r="325" spans="1:4">
      <c r="A325" s="145"/>
      <c r="B325" s="145"/>
      <c r="C325" s="145"/>
      <c r="D325" s="145"/>
    </row>
    <row r="326" spans="1:4">
      <c r="A326" s="145"/>
      <c r="B326" s="145"/>
      <c r="C326" s="145"/>
      <c r="D326" s="145"/>
    </row>
    <row r="327" spans="1:4">
      <c r="A327" s="145"/>
      <c r="B327" s="145"/>
      <c r="C327" s="145"/>
      <c r="D327" s="145"/>
    </row>
    <row r="328" spans="1:4">
      <c r="A328" s="145"/>
      <c r="B328" s="145"/>
      <c r="C328" s="145"/>
      <c r="D328" s="145"/>
    </row>
    <row r="329" spans="1:4">
      <c r="A329" s="145"/>
      <c r="B329" s="145"/>
      <c r="C329" s="145"/>
      <c r="D329" s="145"/>
    </row>
    <row r="330" spans="1:4">
      <c r="A330" s="145"/>
      <c r="B330" s="145"/>
      <c r="C330" s="145"/>
      <c r="D330" s="145"/>
    </row>
    <row r="331" spans="1:4">
      <c r="A331" s="145"/>
      <c r="B331" s="145"/>
      <c r="C331" s="145"/>
      <c r="D331" s="145"/>
    </row>
    <row r="332" spans="1:4">
      <c r="A332" s="145"/>
      <c r="B332" s="145"/>
      <c r="C332" s="145"/>
      <c r="D332" s="145"/>
    </row>
    <row r="333" spans="1:4">
      <c r="A333" s="145"/>
      <c r="B333" s="145"/>
      <c r="C333" s="145"/>
      <c r="D333" s="145"/>
    </row>
    <row r="334" spans="1:4">
      <c r="A334" s="145"/>
      <c r="B334" s="145"/>
      <c r="C334" s="145"/>
      <c r="D334" s="145"/>
    </row>
    <row r="335" spans="1:4">
      <c r="A335" s="145"/>
      <c r="B335" s="145"/>
      <c r="C335" s="145"/>
      <c r="D335" s="145"/>
    </row>
    <row r="336" spans="1:4">
      <c r="A336" s="145"/>
      <c r="B336" s="145"/>
      <c r="C336" s="145"/>
      <c r="D336" s="145"/>
    </row>
    <row r="337" spans="1:4">
      <c r="A337" s="145"/>
      <c r="B337" s="145"/>
      <c r="C337" s="145"/>
      <c r="D337" s="145"/>
    </row>
    <row r="338" spans="1:4">
      <c r="A338" s="145"/>
      <c r="B338" s="145"/>
      <c r="C338" s="145"/>
      <c r="D338" s="145"/>
    </row>
    <row r="339" spans="1:4">
      <c r="A339" s="145"/>
      <c r="B339" s="145"/>
      <c r="C339" s="145"/>
      <c r="D339" s="145"/>
    </row>
    <row r="340" spans="1:4">
      <c r="A340" s="145"/>
      <c r="B340" s="145"/>
      <c r="C340" s="145"/>
      <c r="D340" s="145"/>
    </row>
    <row r="341" spans="1:4">
      <c r="A341" s="145"/>
      <c r="B341" s="145"/>
      <c r="C341" s="145"/>
      <c r="D341" s="145"/>
    </row>
    <row r="342" spans="1:4">
      <c r="A342" s="145"/>
      <c r="B342" s="145"/>
      <c r="C342" s="145"/>
      <c r="D342" s="145"/>
    </row>
    <row r="343" spans="1:4">
      <c r="A343" s="145"/>
      <c r="B343" s="145"/>
      <c r="C343" s="145"/>
      <c r="D343" s="145"/>
    </row>
    <row r="344" spans="1:4">
      <c r="A344" s="145"/>
      <c r="B344" s="145"/>
      <c r="C344" s="145"/>
      <c r="D344" s="145"/>
    </row>
    <row r="345" spans="1:4">
      <c r="A345" s="145"/>
      <c r="B345" s="145"/>
      <c r="C345" s="145"/>
      <c r="D345" s="145"/>
    </row>
    <row r="346" spans="1:4">
      <c r="A346" s="145"/>
      <c r="B346" s="145"/>
      <c r="C346" s="145"/>
      <c r="D346" s="145"/>
    </row>
    <row r="347" spans="1:4">
      <c r="A347" s="145"/>
      <c r="B347" s="145"/>
      <c r="C347" s="145"/>
      <c r="D347" s="145"/>
    </row>
    <row r="348" spans="1:4">
      <c r="A348" s="145"/>
      <c r="B348" s="145"/>
      <c r="C348" s="145"/>
      <c r="D348" s="145"/>
    </row>
    <row r="349" spans="1:4">
      <c r="A349" s="145"/>
      <c r="B349" s="145"/>
      <c r="C349" s="145"/>
      <c r="D349" s="145"/>
    </row>
    <row r="350" spans="1:4">
      <c r="A350" s="145"/>
      <c r="B350" s="145"/>
      <c r="C350" s="145"/>
      <c r="D350" s="145"/>
    </row>
    <row r="351" spans="1:4">
      <c r="A351" s="145"/>
      <c r="B351" s="145"/>
      <c r="C351" s="145"/>
      <c r="D351" s="145"/>
    </row>
    <row r="352" spans="1:4">
      <c r="A352" s="145"/>
      <c r="B352" s="145"/>
      <c r="C352" s="145"/>
      <c r="D352" s="145"/>
    </row>
    <row r="353" spans="1:4">
      <c r="A353" s="145"/>
      <c r="B353" s="145"/>
      <c r="C353" s="145"/>
      <c r="D353" s="145"/>
    </row>
    <row r="354" spans="1:4">
      <c r="A354" s="145"/>
      <c r="B354" s="145"/>
      <c r="C354" s="145"/>
      <c r="D354" s="145"/>
    </row>
    <row r="355" spans="1:4">
      <c r="A355" s="145"/>
      <c r="B355" s="145"/>
      <c r="C355" s="145"/>
      <c r="D355" s="145"/>
    </row>
    <row r="356" spans="1:4">
      <c r="A356" s="145"/>
      <c r="B356" s="145"/>
      <c r="C356" s="145"/>
      <c r="D356" s="145"/>
    </row>
    <row r="357" spans="1:4">
      <c r="A357" s="145"/>
      <c r="B357" s="145"/>
      <c r="C357" s="145"/>
      <c r="D357" s="145"/>
    </row>
    <row r="358" spans="1:4">
      <c r="A358" s="145"/>
      <c r="B358" s="145"/>
      <c r="C358" s="145"/>
      <c r="D358" s="145"/>
    </row>
    <row r="359" spans="1:4">
      <c r="A359" s="145"/>
      <c r="B359" s="145"/>
      <c r="C359" s="145"/>
      <c r="D359" s="145"/>
    </row>
    <row r="360" spans="1:4">
      <c r="A360" s="145"/>
      <c r="B360" s="145"/>
      <c r="C360" s="145"/>
      <c r="D360" s="145"/>
    </row>
    <row r="361" spans="1:4">
      <c r="A361" s="145"/>
      <c r="B361" s="145"/>
      <c r="C361" s="145"/>
      <c r="D361" s="145"/>
    </row>
    <row r="362" spans="1:4">
      <c r="A362" s="145"/>
      <c r="B362" s="145"/>
      <c r="C362" s="145"/>
      <c r="D362" s="145"/>
    </row>
    <row r="363" spans="1:4">
      <c r="A363" s="145"/>
      <c r="B363" s="145"/>
      <c r="C363" s="145"/>
      <c r="D363" s="145"/>
    </row>
    <row r="364" spans="1:4">
      <c r="A364" s="145"/>
      <c r="B364" s="145"/>
      <c r="C364" s="145"/>
      <c r="D364" s="145"/>
    </row>
    <row r="365" spans="1:4">
      <c r="A365" s="145"/>
      <c r="B365" s="145"/>
      <c r="C365" s="145"/>
      <c r="D365" s="145"/>
    </row>
    <row r="366" spans="1:4">
      <c r="A366" s="145"/>
      <c r="B366" s="145"/>
      <c r="C366" s="145"/>
      <c r="D366" s="145"/>
    </row>
    <row r="367" spans="1:4">
      <c r="A367" s="145"/>
      <c r="B367" s="145"/>
      <c r="C367" s="145"/>
      <c r="D367" s="145"/>
    </row>
    <row r="368" spans="1:4">
      <c r="A368" s="145"/>
      <c r="B368" s="145"/>
      <c r="C368" s="145"/>
      <c r="D368" s="145"/>
    </row>
    <row r="369" spans="1:4">
      <c r="A369" s="145"/>
      <c r="B369" s="145"/>
      <c r="C369" s="145"/>
      <c r="D369" s="145"/>
    </row>
    <row r="370" spans="1:4">
      <c r="A370" s="145"/>
      <c r="B370" s="145"/>
      <c r="C370" s="145"/>
      <c r="D370" s="145"/>
    </row>
    <row r="371" spans="1:4">
      <c r="A371" s="145"/>
      <c r="B371" s="145"/>
      <c r="C371" s="145"/>
      <c r="D371" s="145"/>
    </row>
    <row r="372" spans="1:4">
      <c r="A372" s="145"/>
      <c r="B372" s="145"/>
      <c r="C372" s="145"/>
      <c r="D372" s="145"/>
    </row>
    <row r="373" spans="1:4">
      <c r="A373" s="145"/>
      <c r="B373" s="145"/>
      <c r="C373" s="145"/>
      <c r="D373" s="145"/>
    </row>
    <row r="374" spans="1:4">
      <c r="A374" s="145"/>
      <c r="B374" s="145"/>
      <c r="C374" s="145"/>
      <c r="D374" s="145"/>
    </row>
    <row r="375" spans="1:4">
      <c r="A375" s="145"/>
      <c r="B375" s="145"/>
      <c r="C375" s="145"/>
      <c r="D375" s="145"/>
    </row>
    <row r="376" spans="1:4">
      <c r="A376" s="145"/>
      <c r="B376" s="145"/>
      <c r="C376" s="145"/>
      <c r="D376" s="145"/>
    </row>
    <row r="377" spans="1:4">
      <c r="A377" s="145"/>
      <c r="B377" s="145"/>
      <c r="C377" s="145"/>
      <c r="D377" s="145"/>
    </row>
    <row r="378" spans="1:4">
      <c r="A378" s="145"/>
      <c r="B378" s="145"/>
      <c r="C378" s="145"/>
      <c r="D378" s="145"/>
    </row>
    <row r="379" spans="1:4">
      <c r="A379" s="145"/>
      <c r="B379" s="145"/>
      <c r="C379" s="145"/>
      <c r="D379" s="145"/>
    </row>
    <row r="380" spans="1:4">
      <c r="A380" s="145"/>
      <c r="B380" s="145"/>
      <c r="C380" s="145"/>
      <c r="D380" s="145"/>
    </row>
    <row r="381" spans="1:4">
      <c r="A381" s="145"/>
      <c r="B381" s="145"/>
      <c r="C381" s="145"/>
      <c r="D381" s="145"/>
    </row>
    <row r="382" spans="1:4">
      <c r="A382" s="145"/>
      <c r="B382" s="145"/>
      <c r="C382" s="145"/>
      <c r="D382" s="145"/>
    </row>
    <row r="383" spans="1:4">
      <c r="A383" s="145"/>
      <c r="B383" s="145"/>
      <c r="C383" s="145"/>
      <c r="D383" s="145"/>
    </row>
    <row r="384" spans="1:4">
      <c r="A384" s="145"/>
      <c r="B384" s="145"/>
      <c r="C384" s="145"/>
      <c r="D384" s="145"/>
    </row>
    <row r="385" spans="1:4">
      <c r="A385" s="145"/>
      <c r="B385" s="145"/>
      <c r="C385" s="145"/>
      <c r="D385" s="145"/>
    </row>
    <row r="386" spans="1:4">
      <c r="A386" s="145"/>
      <c r="B386" s="145"/>
      <c r="C386" s="145"/>
      <c r="D386" s="145"/>
    </row>
    <row r="387" spans="1:4">
      <c r="A387" s="145"/>
      <c r="B387" s="145"/>
      <c r="C387" s="145"/>
      <c r="D387" s="145"/>
    </row>
    <row r="388" spans="1:4">
      <c r="A388" s="145"/>
      <c r="B388" s="145"/>
      <c r="C388" s="145"/>
      <c r="D388" s="145"/>
    </row>
    <row r="389" spans="1:4">
      <c r="A389" s="145"/>
      <c r="B389" s="145"/>
      <c r="C389" s="145"/>
      <c r="D389" s="145"/>
    </row>
  </sheetData>
  <pageMargins left="0.7" right="0.7" top="0.75" bottom="0.75" header="0.3" footer="0.3"/>
  <pageSetup paperSize="9" orientation="portrait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23A08E-E79C-413F-BA73-8F92AA3DF87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References</vt:lpstr>
      <vt:lpstr>UDF Information</vt:lpstr>
      <vt:lpstr>PC-SAFT Helmholtz Free Energy</vt:lpstr>
      <vt:lpstr>PC-SAFT Compressibility Factor</vt:lpstr>
      <vt:lpstr>PC-SAFT Enthalpy and Entropy</vt:lpstr>
      <vt:lpstr>PC-SAFT Fugacity Coefficients</vt:lpstr>
      <vt:lpstr>PC-SAFT VLE</vt:lpstr>
      <vt:lpstr>PC-SAFT Liquid</vt:lpstr>
      <vt:lpstr>PC-SAFT Vapour</vt:lpstr>
    </vt:vector>
  </TitlesOfParts>
  <Company>IDS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Belton</dc:creator>
  <cp:lastModifiedBy>Tanner Polley</cp:lastModifiedBy>
  <cp:lastPrinted>2020-07-15T17:48:52Z</cp:lastPrinted>
  <dcterms:created xsi:type="dcterms:W3CDTF">2006-11-04T01:18:18Z</dcterms:created>
  <dcterms:modified xsi:type="dcterms:W3CDTF">2026-04-09T21:58:14Z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9348d843-651d-4ace-b2ad-ba88bb5c4ce2</vt:lpwstr>
  </property>
</Properties>
</file>