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8445" tabRatio="600" firstSheet="0" activeTab="3" autoFilterDateGrouping="1"/>
  </bookViews>
  <sheets>
    <sheet name="References" sheetId="1" state="visible" r:id="rId1"/>
    <sheet name="PC-SAFT Helmholtz Free Energy" sheetId="2" state="visible" r:id="rId2"/>
    <sheet name="UDF Information" sheetId="3" state="visible" r:id="rId3"/>
    <sheet name="Disclaimer" sheetId="4" state="visible" r:id="rId4"/>
    <sheet name="Figure3 HC Audit" sheetId="5" state="visible" r:id="rId5"/>
  </sheets>
  <definedNames>
    <definedName name="solver_adj" localSheetId="1" hidden="1">'PC-SAFT Helmholtz Free Energy'!#REF!</definedName>
    <definedName name="solver_cvg" localSheetId="1" hidden="1">0.00000000000001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'PC-SAFT Helmholtz Free Energy'!#REF!</definedName>
    <definedName name="solver_pre" localSheetId="1" hidden="1">0.000000000000001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52511" fullCalcOnLoad="1"/>
</workbook>
</file>

<file path=xl/styles.xml><?xml version="1.0" encoding="utf-8"?>
<styleSheet xmlns="http://schemas.openxmlformats.org/spreadsheetml/2006/main">
  <numFmts count="9">
    <numFmt numFmtId="164" formatCode="0.000"/>
    <numFmt numFmtId="165" formatCode="0.0"/>
    <numFmt numFmtId="166" formatCode="0.0000"/>
    <numFmt numFmtId="167" formatCode="0.000E+00"/>
    <numFmt numFmtId="168" formatCode="0.0000E+00"/>
    <numFmt numFmtId="169" formatCode="0.000000"/>
    <numFmt numFmtId="170" formatCode="0.00000"/>
    <numFmt numFmtId="171" formatCode="0E+00"/>
    <numFmt numFmtId="172" formatCode="0.0E+00"/>
  </numFmts>
  <fonts count="34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2"/>
    </font>
    <font>
      <name val="Arial"/>
      <family val="2"/>
      <b val="1"/>
      <sz val="12"/>
    </font>
    <font>
      <name val="Geneva"/>
      <sz val="9"/>
    </font>
    <font>
      <name val="Calibri"/>
      <family val="2"/>
      <color theme="1"/>
      <sz val="11"/>
      <vertAlign val="superscript"/>
      <scheme val="minor"/>
    </font>
    <font>
      <name val="Calibri"/>
      <family val="2"/>
      <color theme="1"/>
      <sz val="11"/>
      <vertAlign val="superscript"/>
    </font>
    <font>
      <name val="Calibri"/>
      <family val="2"/>
      <i val="1"/>
      <color theme="1"/>
      <sz val="11"/>
      <scheme val="minor"/>
    </font>
    <font>
      <name val="Calibri"/>
      <family val="2"/>
      <i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i val="1"/>
      <color theme="1"/>
      <sz val="11"/>
    </font>
    <font>
      <name val="Calibri"/>
      <family val="2"/>
      <i val="1"/>
      <color theme="1"/>
      <sz val="11"/>
      <vertAlign val="subscript"/>
    </font>
    <font>
      <name val="Calibri"/>
      <family val="2"/>
      <color rgb="FF000000"/>
      <sz val="11"/>
    </font>
    <font>
      <name val="Calibri"/>
      <family val="2"/>
      <color theme="1"/>
      <sz val="11"/>
      <vertAlign val="subscript"/>
      <scheme val="minor"/>
    </font>
    <font>
      <name val="Calibri"/>
      <family val="2"/>
      <color theme="1"/>
      <sz val="11"/>
      <vertAlign val="subscript"/>
    </font>
    <font>
      <name val="Calibri"/>
      <family val="2"/>
      <sz val="11"/>
      <scheme val="minor"/>
    </font>
    <font>
      <name val="Arial"/>
      <family val="2"/>
      <i val="1"/>
      <sz val="10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</font>
    <font>
      <name val="Calibri"/>
      <family val="2"/>
      <i val="1"/>
      <sz val="11"/>
      <scheme val="minor"/>
    </font>
    <font>
      <b val="1"/>
      <sz val="14"/>
    </font>
    <font>
      <b val="1"/>
    </font>
  </fonts>
  <fills count="4">
    <fill>
      <patternFill/>
    </fill>
    <fill>
      <patternFill patternType="gray125"/>
    </fill>
    <fill>
      <patternFill patternType="solid">
        <fgColor rgb="00D9EAF7"/>
      </patternFill>
    </fill>
    <fill>
      <patternFill patternType="solid">
        <fgColor rgb="00E8F3E8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2" fillId="0" borderId="0"/>
    <xf numFmtId="0" fontId="15" fillId="0" borderId="0"/>
    <xf numFmtId="0" fontId="11" fillId="0" borderId="0"/>
    <xf numFmtId="0" fontId="23" fillId="0" borderId="0"/>
    <xf numFmtId="0" fontId="11" fillId="0" borderId="0"/>
  </cellStyleXfs>
  <cellXfs count="102">
    <xf numFmtId="0" fontId="0" fillId="0" borderId="0" pivotButton="0" quotePrefix="0" xfId="0"/>
    <xf numFmtId="0" fontId="11" fillId="0" borderId="0" pivotButton="0" quotePrefix="0" xfId="3"/>
    <xf numFmtId="0" fontId="11" fillId="0" borderId="0" applyAlignment="1" pivotButton="0" quotePrefix="0" xfId="3">
      <alignment horizontal="center"/>
    </xf>
    <xf numFmtId="0" fontId="11" fillId="0" borderId="0" applyAlignment="1" pivotButton="0" quotePrefix="0" xfId="3">
      <alignment horizontal="right"/>
    </xf>
    <xf numFmtId="164" fontId="11" fillId="0" borderId="0" applyAlignment="1" pivotButton="0" quotePrefix="0" xfId="3">
      <alignment horizontal="center"/>
    </xf>
    <xf numFmtId="165" fontId="11" fillId="0" borderId="0" applyAlignment="1" pivotButton="0" quotePrefix="0" xfId="3">
      <alignment horizontal="center"/>
    </xf>
    <xf numFmtId="0" fontId="18" fillId="0" borderId="0" applyAlignment="1" pivotButton="0" quotePrefix="0" xfId="3">
      <alignment horizontal="center"/>
    </xf>
    <xf numFmtId="0" fontId="11" fillId="0" borderId="2" applyAlignment="1" pivotButton="0" quotePrefix="0" xfId="3">
      <alignment horizontal="center"/>
    </xf>
    <xf numFmtId="0" fontId="11" fillId="0" borderId="3" applyAlignment="1" pivotButton="0" quotePrefix="0" xfId="3">
      <alignment horizontal="center"/>
    </xf>
    <xf numFmtId="0" fontId="11" fillId="0" borderId="1" applyAlignment="1" pivotButton="0" quotePrefix="0" xfId="3">
      <alignment horizontal="center"/>
    </xf>
    <xf numFmtId="2" fontId="11" fillId="0" borderId="0" applyAlignment="1" pivotButton="0" quotePrefix="0" xfId="3">
      <alignment horizontal="center"/>
    </xf>
    <xf numFmtId="1" fontId="11" fillId="0" borderId="1" applyAlignment="1" pivotButton="0" quotePrefix="0" xfId="3">
      <alignment horizontal="center"/>
    </xf>
    <xf numFmtId="166" fontId="11" fillId="0" borderId="0" applyAlignment="1" pivotButton="0" quotePrefix="0" xfId="3">
      <alignment horizontal="center"/>
    </xf>
    <xf numFmtId="11" fontId="11" fillId="0" borderId="0" applyAlignment="1" pivotButton="0" quotePrefix="0" xfId="3">
      <alignment horizontal="center"/>
    </xf>
    <xf numFmtId="11" fontId="11" fillId="0" borderId="0" pivotButton="0" quotePrefix="0" xfId="3"/>
    <xf numFmtId="167" fontId="11" fillId="0" borderId="0" pivotButton="0" quotePrefix="0" xfId="3"/>
    <xf numFmtId="0" fontId="14" fillId="0" borderId="0" pivotButton="0" quotePrefix="0" xfId="5"/>
    <xf numFmtId="0" fontId="13" fillId="0" borderId="0" pivotButton="0" quotePrefix="0" xfId="5"/>
    <xf numFmtId="0" fontId="11" fillId="0" borderId="0" pivotButton="0" quotePrefix="0" xfId="5"/>
    <xf numFmtId="2" fontId="11" fillId="0" borderId="1" applyAlignment="1" pivotButton="0" quotePrefix="0" xfId="3">
      <alignment horizontal="center"/>
    </xf>
    <xf numFmtId="0" fontId="10" fillId="0" borderId="0" pivotButton="0" quotePrefix="0" xfId="3"/>
    <xf numFmtId="0" fontId="10" fillId="0" borderId="1" applyAlignment="1" pivotButton="0" quotePrefix="0" xfId="3">
      <alignment horizontal="center"/>
    </xf>
    <xf numFmtId="0" fontId="10" fillId="0" borderId="0" applyAlignment="1" pivotButton="0" quotePrefix="0" xfId="3">
      <alignment horizontal="right"/>
    </xf>
    <xf numFmtId="0" fontId="10" fillId="0" borderId="0" pivotButton="0" quotePrefix="0" xfId="1"/>
    <xf numFmtId="168" fontId="11" fillId="0" borderId="0" applyAlignment="1" pivotButton="0" quotePrefix="0" xfId="3">
      <alignment horizontal="center"/>
    </xf>
    <xf numFmtId="0" fontId="11" fillId="0" borderId="0" pivotButton="0" quotePrefix="0" xfId="3"/>
    <xf numFmtId="0" fontId="10" fillId="0" borderId="0" applyAlignment="1" pivotButton="0" quotePrefix="0" xfId="3">
      <alignment horizontal="left"/>
    </xf>
    <xf numFmtId="0" fontId="20" fillId="0" borderId="0" applyAlignment="1" pivotButton="0" quotePrefix="0" xfId="3">
      <alignment horizontal="right"/>
    </xf>
    <xf numFmtId="0" fontId="10" fillId="0" borderId="0" pivotButton="0" quotePrefix="0" xfId="3"/>
    <xf numFmtId="0" fontId="10" fillId="0" borderId="0" applyAlignment="1" pivotButton="0" quotePrefix="0" xfId="3">
      <alignment horizontal="center"/>
    </xf>
    <xf numFmtId="0" fontId="10" fillId="0" borderId="1" applyAlignment="1" pivotButton="0" quotePrefix="0" xfId="3">
      <alignment horizontal="left"/>
    </xf>
    <xf numFmtId="0" fontId="9" fillId="0" borderId="0" applyAlignment="1" pivotButton="0" quotePrefix="0" xfId="3">
      <alignment horizontal="left"/>
    </xf>
    <xf numFmtId="0" fontId="9" fillId="0" borderId="1" applyAlignment="1" pivotButton="0" quotePrefix="0" xfId="3">
      <alignment horizontal="center"/>
    </xf>
    <xf numFmtId="0" fontId="9" fillId="0" borderId="0" applyAlignment="1" pivotButton="0" quotePrefix="0" xfId="3">
      <alignment horizontal="left"/>
    </xf>
    <xf numFmtId="169" fontId="11" fillId="0" borderId="0" applyAlignment="1" pivotButton="0" quotePrefix="0" xfId="3">
      <alignment horizontal="center"/>
    </xf>
    <xf numFmtId="0" fontId="11" fillId="0" borderId="3" pivotButton="0" quotePrefix="0" xfId="3"/>
    <xf numFmtId="0" fontId="18" fillId="0" borderId="2" applyAlignment="1" pivotButton="0" quotePrefix="0" xfId="3">
      <alignment horizontal="center"/>
    </xf>
    <xf numFmtId="0" fontId="9" fillId="0" borderId="3" applyAlignment="1" pivotButton="0" quotePrefix="0" xfId="3">
      <alignment horizontal="center"/>
    </xf>
    <xf numFmtId="11" fontId="10" fillId="0" borderId="0" applyAlignment="1" pivotButton="0" quotePrefix="0" xfId="3">
      <alignment horizontal="center"/>
    </xf>
    <xf numFmtId="2" fontId="11" fillId="0" borderId="3" applyAlignment="1" pivotButton="0" quotePrefix="0" xfId="3">
      <alignment horizontal="center"/>
    </xf>
    <xf numFmtId="170" fontId="11" fillId="0" borderId="1" applyAlignment="1" pivotButton="0" quotePrefix="0" xfId="3">
      <alignment horizontal="center"/>
    </xf>
    <xf numFmtId="170" fontId="11" fillId="0" borderId="3" applyAlignment="1" pivotButton="0" quotePrefix="0" xfId="3">
      <alignment horizontal="center"/>
    </xf>
    <xf numFmtId="0" fontId="9" fillId="0" borderId="2" applyAlignment="1" pivotButton="0" quotePrefix="0" xfId="3">
      <alignment horizontal="center"/>
    </xf>
    <xf numFmtId="11" fontId="11" fillId="0" borderId="3" applyAlignment="1" pivotButton="0" quotePrefix="0" xfId="3">
      <alignment horizontal="center"/>
    </xf>
    <xf numFmtId="11" fontId="11" fillId="0" borderId="1" applyAlignment="1" pivotButton="0" quotePrefix="0" xfId="3">
      <alignment horizontal="center"/>
    </xf>
    <xf numFmtId="171" fontId="11" fillId="0" borderId="0" pivotButton="0" quotePrefix="0" xfId="3"/>
    <xf numFmtId="11" fontId="0" fillId="0" borderId="0" pivotButton="0" quotePrefix="0" xfId="0"/>
    <xf numFmtId="0" fontId="18" fillId="0" borderId="0" applyAlignment="1" pivotButton="0" quotePrefix="0" xfId="3">
      <alignment horizontal="center"/>
    </xf>
    <xf numFmtId="0" fontId="9" fillId="0" borderId="0" applyAlignment="1" pivotButton="0" quotePrefix="0" xfId="3">
      <alignment horizontal="center"/>
    </xf>
    <xf numFmtId="2" fontId="11" fillId="0" borderId="0" applyAlignment="1" pivotButton="0" quotePrefix="0" xfId="3">
      <alignment horizontal="center"/>
    </xf>
    <xf numFmtId="11" fontId="11" fillId="0" borderId="0" applyAlignment="1" pivotButton="0" quotePrefix="0" xfId="3">
      <alignment horizontal="center"/>
    </xf>
    <xf numFmtId="167" fontId="11" fillId="0" borderId="0" applyAlignment="1" pivotButton="0" quotePrefix="0" xfId="3">
      <alignment horizontal="center"/>
    </xf>
    <xf numFmtId="0" fontId="11" fillId="0" borderId="1" pivotButton="0" quotePrefix="0" xfId="3"/>
    <xf numFmtId="172" fontId="11" fillId="0" borderId="0" pivotButton="0" quotePrefix="0" xfId="3"/>
    <xf numFmtId="11" fontId="11" fillId="0" borderId="0" pivotButton="0" quotePrefix="0" xfId="3"/>
    <xf numFmtId="166" fontId="11" fillId="0" borderId="0" pivotButton="0" quotePrefix="0" xfId="3"/>
    <xf numFmtId="0" fontId="11" fillId="0" borderId="0" applyAlignment="1" pivotButton="0" quotePrefix="0" xfId="3">
      <alignment horizontal="center"/>
    </xf>
    <xf numFmtId="170" fontId="11" fillId="0" borderId="0" applyAlignment="1" pivotButton="0" quotePrefix="0" xfId="3">
      <alignment horizontal="center"/>
    </xf>
    <xf numFmtId="169" fontId="11" fillId="0" borderId="0" pivotButton="0" quotePrefix="0" xfId="3"/>
    <xf numFmtId="170" fontId="11" fillId="0" borderId="0" pivotButton="0" quotePrefix="0" xfId="3"/>
    <xf numFmtId="168" fontId="11" fillId="0" borderId="0" pivotButton="0" quotePrefix="0" xfId="3"/>
    <xf numFmtId="0" fontId="8" fillId="0" borderId="0" pivotButton="0" quotePrefix="0" xfId="3"/>
    <xf numFmtId="172" fontId="11" fillId="0" borderId="0" applyAlignment="1" pivotButton="0" quotePrefix="0" xfId="3">
      <alignment horizontal="center"/>
    </xf>
    <xf numFmtId="0" fontId="8" fillId="0" borderId="0" pivotButton="0" quotePrefix="0" xfId="3"/>
    <xf numFmtId="0" fontId="8" fillId="0" borderId="0" applyAlignment="1" pivotButton="0" quotePrefix="0" xfId="3">
      <alignment horizontal="left"/>
    </xf>
    <xf numFmtId="0" fontId="28" fillId="0" borderId="0" pivotButton="0" quotePrefix="0" xfId="0"/>
    <xf numFmtId="0" fontId="26" fillId="0" borderId="0" pivotButton="0" quotePrefix="0" xfId="0"/>
    <xf numFmtId="166" fontId="11" fillId="0" borderId="0" applyAlignment="1" pivotButton="0" quotePrefix="0" xfId="3">
      <alignment horizontal="center"/>
    </xf>
    <xf numFmtId="0" fontId="7" fillId="0" borderId="0" pivotButton="0" quotePrefix="0" xfId="3"/>
    <xf numFmtId="0" fontId="7" fillId="0" borderId="0" pivotButton="0" quotePrefix="0" xfId="3"/>
    <xf numFmtId="0" fontId="29" fillId="0" borderId="0" pivotButton="0" quotePrefix="0" xfId="3"/>
    <xf numFmtId="2" fontId="11" fillId="0" borderId="0" pivotButton="0" quotePrefix="0" xfId="3"/>
    <xf numFmtId="0" fontId="6" fillId="0" borderId="0" pivotButton="0" quotePrefix="0" xfId="3"/>
    <xf numFmtId="0" fontId="6" fillId="0" borderId="0" applyAlignment="1" pivotButton="0" quotePrefix="0" xfId="3">
      <alignment horizontal="right"/>
    </xf>
    <xf numFmtId="164" fontId="6" fillId="0" borderId="3" applyAlignment="1" pivotButton="0" quotePrefix="0" xfId="3">
      <alignment horizontal="center"/>
    </xf>
    <xf numFmtId="0" fontId="6" fillId="0" borderId="3" applyAlignment="1" pivotButton="0" quotePrefix="0" xfId="3">
      <alignment horizontal="center"/>
    </xf>
    <xf numFmtId="0" fontId="4" fillId="0" borderId="0" pivotButton="0" quotePrefix="0" xfId="3"/>
    <xf numFmtId="0" fontId="5" fillId="0" borderId="0" applyAlignment="1" pivotButton="0" quotePrefix="0" xfId="3">
      <alignment horizontal="right"/>
    </xf>
    <xf numFmtId="11" fontId="3" fillId="0" borderId="0" pivotButton="0" quotePrefix="0" xfId="3"/>
    <xf numFmtId="0" fontId="26" fillId="0" borderId="0" pivotButton="0" quotePrefix="1" xfId="0"/>
    <xf numFmtId="0" fontId="3" fillId="0" borderId="1" applyAlignment="1" pivotButton="0" quotePrefix="0" xfId="3">
      <alignment horizontal="left"/>
    </xf>
    <xf numFmtId="0" fontId="3" fillId="0" borderId="0" applyAlignment="1" pivotButton="0" quotePrefix="0" xfId="3">
      <alignment horizontal="left"/>
    </xf>
    <xf numFmtId="0" fontId="3" fillId="0" borderId="0" pivotButton="0" quotePrefix="0" xfId="3"/>
    <xf numFmtId="0" fontId="3" fillId="0" borderId="0" applyAlignment="1" pivotButton="0" quotePrefix="0" xfId="3">
      <alignment horizontal="left"/>
    </xf>
    <xf numFmtId="0" fontId="26" fillId="0" borderId="0" pivotButton="0" quotePrefix="0" xfId="0"/>
    <xf numFmtId="0" fontId="2" fillId="0" borderId="0" pivotButton="0" quotePrefix="0" xfId="3"/>
    <xf numFmtId="166" fontId="11" fillId="0" borderId="0" applyAlignment="1" pivotButton="0" quotePrefix="0" xfId="3">
      <alignment horizontal="center"/>
    </xf>
    <xf numFmtId="167" fontId="11" fillId="0" borderId="0" pivotButton="0" quotePrefix="0" xfId="3"/>
    <xf numFmtId="166" fontId="11" fillId="0" borderId="0" pivotButton="0" quotePrefix="0" xfId="3"/>
    <xf numFmtId="170" fontId="11" fillId="0" borderId="0" pivotButton="0" quotePrefix="0" xfId="3"/>
    <xf numFmtId="165" fontId="11" fillId="0" borderId="0" applyAlignment="1" pivotButton="0" quotePrefix="0" xfId="3">
      <alignment horizontal="center"/>
    </xf>
    <xf numFmtId="169" fontId="11" fillId="0" borderId="0" applyAlignment="1" pivotButton="0" quotePrefix="0" xfId="3">
      <alignment horizontal="center"/>
    </xf>
    <xf numFmtId="169" fontId="11" fillId="0" borderId="0" pivotButton="0" quotePrefix="0" xfId="3"/>
    <xf numFmtId="167" fontId="11" fillId="0" borderId="0" applyAlignment="1" pivotButton="0" quotePrefix="0" xfId="3">
      <alignment horizontal="center"/>
    </xf>
    <xf numFmtId="170" fontId="11" fillId="0" borderId="3" applyAlignment="1" pivotButton="0" quotePrefix="0" xfId="3">
      <alignment horizontal="center"/>
    </xf>
    <xf numFmtId="170" fontId="11" fillId="0" borderId="1" applyAlignment="1" pivotButton="0" quotePrefix="0" xfId="3">
      <alignment horizontal="center"/>
    </xf>
    <xf numFmtId="170" fontId="11" fillId="0" borderId="0" applyAlignment="1" pivotButton="0" quotePrefix="0" xfId="3">
      <alignment horizontal="center"/>
    </xf>
    <xf numFmtId="0" fontId="32" fillId="0" borderId="0" pivotButton="0" quotePrefix="0" xfId="0"/>
    <xf numFmtId="0" fontId="33" fillId="0" borderId="0" pivotButton="0" quotePrefix="0" xfId="0"/>
    <xf numFmtId="0" fontId="0" fillId="0" borderId="0" applyAlignment="1" pivotButton="0" quotePrefix="0" xfId="0">
      <alignment wrapText="1"/>
    </xf>
    <xf numFmtId="0" fontId="33" fillId="2" borderId="0" pivotButton="0" quotePrefix="0" xfId="0"/>
    <xf numFmtId="0" fontId="33" fillId="3" borderId="0" pivotButton="0" quotePrefix="0" xfId="0"/>
  </cellXfs>
  <cellStyles count="6">
    <cellStyle name="Normal" xfId="0" builtinId="0"/>
    <cellStyle name="Normal 2" xfId="1"/>
    <cellStyle name="Normal 3" xfId="2"/>
    <cellStyle name="Normal 2 2" xfId="3"/>
    <cellStyle name="Normal 3 2" xfId="4"/>
    <cellStyle name="Normal 3 2 2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7</row>
      <rowOff>0</rowOff>
    </from>
    <to>
      <col>1</col>
      <colOff>827733</colOff>
      <row>9</row>
      <rowOff>106284</rowOff>
    </to>
    <pic>
      <nvPicPr>
        <cNvPr id="2" name="Picture 1" descr="https://licensebuttons.net/l/by-nc/3.0/88x31.png"/>
        <cNvPicPr/>
      </nvPicPr>
      <blipFill>
        <a:blip r:embed="rId1"/>
        <a:srcRect/>
        <a:stretch>
          <a:fillRect/>
        </a:stretch>
      </blipFill>
      <spPr bwMode="auto">
        <a:xfrm>
          <a:off x="0" y="1400175"/>
          <a:ext cx="1437333" cy="506334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5"/>
  <sheetViews>
    <sheetView zoomScale="120" zoomScaleNormal="120" workbookViewId="0">
      <selection activeCell="A4" sqref="A4"/>
    </sheetView>
  </sheetViews>
  <sheetFormatPr baseColWidth="8" defaultRowHeight="15"/>
  <cols>
    <col width="9.140625" customWidth="1" style="84" min="1" max="16384"/>
  </cols>
  <sheetData>
    <row r="1">
      <c r="A1" s="65" t="inlineStr">
        <is>
          <t>References</t>
        </is>
      </c>
    </row>
    <row r="2">
      <c r="A2" s="84" t="inlineStr">
        <is>
          <t>[1] Gross, J. &amp; Sadowski, G. Ind. Eng. Chem. Res. 2001, 40, 1244</t>
        </is>
      </c>
    </row>
    <row r="3">
      <c r="A3" s="84" t="inlineStr">
        <is>
          <t>[2] Aparicio-Martı´nez, S. &amp; Hall, K. R. Ind. Eng. Chem. Res. 2007, 46, 273</t>
        </is>
      </c>
    </row>
    <row r="5" ht="18.75" customHeight="1">
      <c r="A5" s="78" t="inlineStr">
        <is>
          <t>Note: equation A11 from reference [1] has a typographical error, it is written: C1 = ( ... )−1 = ( ... ). The correct form is: C1 = ( ... )−1 = ( ... )−1.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5">
    <outlinePr summaryBelow="1" summaryRight="1"/>
    <pageSetUpPr/>
  </sheetPr>
  <dimension ref="A1:W389"/>
  <sheetViews>
    <sheetView zoomScale="120" zoomScaleNormal="120" workbookViewId="0">
      <selection activeCell="A2" sqref="A2"/>
    </sheetView>
  </sheetViews>
  <sheetFormatPr baseColWidth="8" defaultRowHeight="15"/>
  <cols>
    <col width="46.5703125" bestFit="1" customWidth="1" style="25" min="1" max="1"/>
    <col width="11.85546875" customWidth="1" style="25" min="2" max="4"/>
    <col width="11.5703125" bestFit="1" customWidth="1" style="25" min="5" max="5"/>
    <col width="13.42578125" bestFit="1" customWidth="1" style="25" min="6" max="7"/>
    <col width="12.28515625" bestFit="1" customWidth="1" style="25" min="8" max="8"/>
    <col width="9.140625" customWidth="1" style="25" min="9" max="9"/>
    <col width="10.5703125" customWidth="1" style="25" min="10" max="10"/>
    <col width="46.140625" customWidth="1" style="25" min="11" max="11"/>
    <col width="14.5703125" customWidth="1" style="25" min="12" max="12"/>
    <col width="11.42578125" customWidth="1" style="25" min="13" max="14"/>
    <col width="10.42578125" customWidth="1" style="25" min="15" max="17"/>
    <col width="22.28515625" bestFit="1" customWidth="1" style="25" min="18" max="18"/>
    <col width="11" customWidth="1" style="25" min="19" max="19"/>
    <col width="10.85546875" customWidth="1" style="25" min="20" max="20"/>
    <col width="11.85546875" bestFit="1" customWidth="1" style="25" min="21" max="21"/>
    <col width="13.5703125" bestFit="1" customWidth="1" style="25" min="22" max="22"/>
    <col width="9.140625" customWidth="1" style="25" min="23" max="16384"/>
  </cols>
  <sheetData>
    <row r="1">
      <c r="A1" s="28" t="inlineStr">
        <is>
          <t>PC-SAFT Equation of State:</t>
        </is>
      </c>
      <c r="B1" s="70" t="n"/>
    </row>
    <row r="2">
      <c r="B2" s="60" t="n"/>
      <c r="G2" s="26" t="inlineStr">
        <is>
          <t>Hard-Chain Reference Contribution:</t>
        </is>
      </c>
      <c r="H2" s="28" t="n"/>
      <c r="L2" s="33" t="inlineStr">
        <is>
          <t>Dispersion Contribution:</t>
        </is>
      </c>
      <c r="S2" s="69" t="inlineStr">
        <is>
          <t>Residual Helmholtz Free Energy:</t>
        </is>
      </c>
    </row>
    <row r="3" ht="17.25" customHeight="1">
      <c r="A3" s="22" t="inlineStr">
        <is>
          <t>Boltzmann constant, k =</t>
        </is>
      </c>
      <c r="B3" s="24" t="n">
        <v>1.380649e-23</v>
      </c>
      <c r="C3" s="28" t="inlineStr">
        <is>
          <t>J K−1</t>
        </is>
      </c>
      <c r="G3" s="26" t="n"/>
      <c r="H3" s="28" t="n"/>
    </row>
    <row r="4" ht="18.75" customHeight="1">
      <c r="A4" s="22" t="inlineStr">
        <is>
          <t>Avogadro's number, NA =</t>
        </is>
      </c>
      <c r="B4" s="24" t="n">
        <v>6.02214076e+23</v>
      </c>
      <c r="C4" s="28" t="inlineStr">
        <is>
          <t>mol−1</t>
        </is>
      </c>
      <c r="H4" s="56">
        <f>H13*H11-SUMPRODUCT(B15:D15,B21:D21,B22:D22)</f>
        <v/>
      </c>
      <c r="I4" s="69" t="inlineStr">
        <is>
          <t>(Eq. A4 [1])</t>
        </is>
      </c>
      <c r="K4" s="45" t="n"/>
      <c r="M4" s="86">
        <f>-2*PI()*B8*M16*M22-PI()*B8*H13*M20*M18*M24</f>
        <v/>
      </c>
      <c r="N4" s="69" t="inlineStr">
        <is>
          <t>(Eq. A10 [1])</t>
        </is>
      </c>
      <c r="O4" s="87" t="n"/>
      <c r="P4" s="88" t="n"/>
      <c r="Q4" s="88" t="n"/>
      <c r="T4" s="89">
        <f>H4+M4</f>
        <v/>
      </c>
      <c r="U4" s="69" t="inlineStr">
        <is>
          <t>(Eq. A3 [1])</t>
        </is>
      </c>
    </row>
    <row r="5" ht="17.25" customHeight="1">
      <c r="A5" s="22" t="inlineStr">
        <is>
          <t>Gas constant, R =</t>
        </is>
      </c>
      <c r="B5" s="4" t="n">
        <v>8.31446261815324</v>
      </c>
      <c r="C5" s="25" t="inlineStr">
        <is>
          <t>J mol−1 K−1</t>
        </is>
      </c>
      <c r="K5" s="45" t="n"/>
    </row>
    <row r="6" ht="18.75" customHeight="1">
      <c r="A6" s="3" t="inlineStr">
        <is>
          <t xml:space="preserve">Temperature, T = </t>
        </is>
      </c>
      <c r="B6" s="49" t="n">
        <v>233.15</v>
      </c>
      <c r="C6" s="25" t="inlineStr">
        <is>
          <t>K</t>
        </is>
      </c>
      <c r="G6" s="27" t="inlineStr">
        <is>
          <t>ζ0 =</t>
        </is>
      </c>
      <c r="H6" s="38">
        <f>(PI()*B8/6)*SUMPRODUCT(B15:D15,B16:D16)</f>
        <v/>
      </c>
      <c r="I6" s="28" t="inlineStr">
        <is>
          <t>Å−3</t>
        </is>
      </c>
      <c r="J6" s="63" t="inlineStr">
        <is>
          <t>(Eq. A8 [1])</t>
        </is>
      </c>
      <c r="K6" s="45" t="n"/>
      <c r="Q6" s="25" t="n"/>
      <c r="S6" s="54" t="n"/>
      <c r="T6" s="71">
        <f>T4*B3*B4*B6</f>
        <v/>
      </c>
      <c r="U6" s="69" t="inlineStr">
        <is>
          <t>J mol−1</t>
        </is>
      </c>
      <c r="V6" s="69" t="inlineStr">
        <is>
          <t>(Eq. A1 [1])</t>
        </is>
      </c>
    </row>
    <row r="7" ht="18.75" customHeight="1">
      <c r="A7" s="73" t="inlineStr">
        <is>
          <t>Packing fraction, η =</t>
        </is>
      </c>
      <c r="B7" s="4" t="n">
        <v>0.402</v>
      </c>
      <c r="E7" s="54" t="n"/>
      <c r="G7" s="27" t="inlineStr">
        <is>
          <t>ζ1 =</t>
        </is>
      </c>
      <c r="H7" s="38">
        <f>(PI()*B8/6)*SUMPRODUCT(B15:D15,B16:D16,B19:D19)</f>
        <v/>
      </c>
      <c r="I7" s="28" t="inlineStr">
        <is>
          <t>Å−2</t>
        </is>
      </c>
      <c r="J7" s="63" t="inlineStr">
        <is>
          <t>(Eq. A8 [1])</t>
        </is>
      </c>
      <c r="K7" s="45" t="n"/>
      <c r="L7" s="36" t="inlineStr">
        <is>
          <t>i</t>
        </is>
      </c>
      <c r="M7" s="35" t="n"/>
      <c r="N7" s="35" t="n"/>
      <c r="O7" s="35" t="n"/>
      <c r="P7" s="35" t="n"/>
      <c r="Q7" s="50" t="n"/>
    </row>
    <row r="8" ht="18.75" customHeight="1">
      <c r="A8" s="22" t="inlineStr">
        <is>
          <t>Total number density of molecules, ρ =</t>
        </is>
      </c>
      <c r="B8" s="50">
        <f>6*B7/(SUMPRODUCT(B15:D15,B16:D16,B19:D19^3)*PI())</f>
        <v/>
      </c>
      <c r="C8" s="82" t="inlineStr">
        <is>
          <t>Å−3</t>
        </is>
      </c>
      <c r="G8" s="27" t="inlineStr">
        <is>
          <t>ζ2 =</t>
        </is>
      </c>
      <c r="H8" s="38">
        <f>(PI()*B8/6)*SUMPRODUCT(B15:D15,B16:D16,B19:D19^2)</f>
        <v/>
      </c>
      <c r="I8" s="28" t="inlineStr">
        <is>
          <t>Å−1</t>
        </is>
      </c>
      <c r="J8" s="63" t="inlineStr">
        <is>
          <t>(Eq. A8 [1])</t>
        </is>
      </c>
      <c r="K8" s="45" t="n"/>
      <c r="L8" s="9" t="n">
        <v>0</v>
      </c>
      <c r="M8" s="50">
        <f>C29+(H$13-1)*D29/H$13+(H$13-1)*(H$13-2)*E29/H$13^2</f>
        <v/>
      </c>
      <c r="N8" s="50">
        <f>F29+(H$13-1)*G29/H$13+(H$13-1)*(H$13-2)*H29/H$13^2</f>
        <v/>
      </c>
      <c r="O8" s="50">
        <f>M8*H$9^L8</f>
        <v/>
      </c>
      <c r="P8" s="50">
        <f>N8*H$9^L8</f>
        <v/>
      </c>
      <c r="Q8" s="50" t="n"/>
      <c r="T8" s="89">
        <f>PCSAFTA(B6,B8,B15:D15,B16:D16,B17:D17,B18:D18,M28:O30)</f>
        <v/>
      </c>
      <c r="U8" s="63" t="inlineStr">
        <is>
          <t>(calculated using custom VBA function)</t>
        </is>
      </c>
    </row>
    <row r="9" ht="18.75" customHeight="1">
      <c r="A9" s="22" t="inlineStr">
        <is>
          <t xml:space="preserve">Molar volume, v = </t>
        </is>
      </c>
      <c r="B9" s="62">
        <f>B4*10^-30/B8</f>
        <v/>
      </c>
      <c r="C9" s="23" t="inlineStr">
        <is>
          <t>m3 mol−1</t>
        </is>
      </c>
      <c r="E9" s="54" t="n"/>
      <c r="G9" s="27" t="inlineStr">
        <is>
          <t>ζ3 = η =</t>
        </is>
      </c>
      <c r="H9" s="38">
        <f>(PI()*B8/6)*SUMPRODUCT(B15:D15,B16:D16,B19:D19^3)</f>
        <v/>
      </c>
      <c r="I9" s="28" t="n"/>
      <c r="J9" s="63" t="inlineStr">
        <is>
          <t>(Eq. A8 [1])</t>
        </is>
      </c>
      <c r="K9" s="45" t="n"/>
      <c r="L9" s="9" t="n">
        <v>1</v>
      </c>
      <c r="M9" s="50">
        <f>C30+(H$13-1)*D30/H$13+(H$13-1)*(H$13-2)*E30/H$13^2</f>
        <v/>
      </c>
      <c r="N9" s="50">
        <f>F30+(H$13-1)*G30/H$13+(H$13-1)*(H$13-2)*H30/H$13^2</f>
        <v/>
      </c>
      <c r="O9" s="50">
        <f>M9*H$9^L9</f>
        <v/>
      </c>
      <c r="P9" s="50">
        <f>N9*H$9^L9</f>
        <v/>
      </c>
      <c r="Q9" s="50" t="n"/>
      <c r="T9" s="54" t="n"/>
    </row>
    <row r="10">
      <c r="A10" s="3" t="n"/>
      <c r="B10" s="90" t="n"/>
      <c r="H10" s="56" t="n"/>
      <c r="L10" s="9" t="n">
        <v>2</v>
      </c>
      <c r="M10" s="50">
        <f>C31+(H$13-1)*D31/H$13+(H$13-1)*(H$13-2)*E31/H$13^2</f>
        <v/>
      </c>
      <c r="N10" s="50">
        <f>F31+(H$13-1)*G31/H$13+(H$13-1)*(H$13-2)*H31/H$13^2</f>
        <v/>
      </c>
      <c r="O10" s="50">
        <f>M10*H$9^L10</f>
        <v/>
      </c>
      <c r="P10" s="50">
        <f>N10*H$9^L10</f>
        <v/>
      </c>
      <c r="Q10" s="50" t="n"/>
    </row>
    <row r="11">
      <c r="A11" s="33" t="inlineStr">
        <is>
          <t>Pure Component Parameters and Calculations:</t>
        </is>
      </c>
      <c r="B11" s="90" t="n"/>
      <c r="H11" s="91">
        <f>(1/H6)*(3*H7*H8/(1-H9)+H8^3/(H9*(1-H9)^2)+(((H8^3/H9^2)-H6)*LN(1-H9)))</f>
        <v/>
      </c>
      <c r="I11" s="69" t="inlineStr">
        <is>
          <t>(Eq. A6 [1])</t>
        </is>
      </c>
      <c r="K11" s="53" t="n"/>
      <c r="L11" s="9" t="n">
        <v>3</v>
      </c>
      <c r="M11" s="50">
        <f>C32+(H$13-1)*D32/H$13+(H$13-1)*(H$13-2)*E32/H$13^2</f>
        <v/>
      </c>
      <c r="N11" s="50">
        <f>F32+(H$13-1)*G32/H$13+(H$13-1)*(H$13-2)*H32/H$13^2</f>
        <v/>
      </c>
      <c r="O11" s="50">
        <f>M11*H$9^L11</f>
        <v/>
      </c>
      <c r="P11" s="50">
        <f>N11*H$9^L11</f>
        <v/>
      </c>
      <c r="Q11" s="50" t="n"/>
    </row>
    <row r="12">
      <c r="A12" s="3" t="n"/>
      <c r="B12" s="4" t="n"/>
      <c r="H12" s="56" t="n"/>
      <c r="L12" s="9" t="n">
        <v>4</v>
      </c>
      <c r="M12" s="50">
        <f>C33+(H$13-1)*D33/H$13+(H$13-1)*(H$13-2)*E33/H$13^2</f>
        <v/>
      </c>
      <c r="N12" s="50">
        <f>F33+(H$13-1)*G33/H$13+(H$13-1)*(H$13-2)*H33/H$13^2</f>
        <v/>
      </c>
      <c r="O12" s="50">
        <f>M12*H$9^L12</f>
        <v/>
      </c>
      <c r="P12" s="50">
        <f>N12*H$9^L12</f>
        <v/>
      </c>
      <c r="Q12" s="50" t="n"/>
      <c r="R12" s="77" t="inlineStr">
        <is>
          <t>(Eq. A18 [1])</t>
        </is>
      </c>
    </row>
    <row r="13">
      <c r="A13" s="7" t="inlineStr">
        <is>
          <t>Component Name</t>
        </is>
      </c>
      <c r="B13" s="74" t="inlineStr">
        <is>
          <t>Methane</t>
        </is>
      </c>
      <c r="C13" s="75" t="inlineStr">
        <is>
          <t>Ethane</t>
        </is>
      </c>
      <c r="D13" s="75" t="inlineStr">
        <is>
          <t>Propane</t>
        </is>
      </c>
      <c r="H13" s="91">
        <f>SUMPRODUCT(B15:D15,B16:D16)</f>
        <v/>
      </c>
      <c r="I13" s="63" t="inlineStr">
        <is>
          <t>(Eq. A5 [1])</t>
        </is>
      </c>
      <c r="L13" s="9" t="n">
        <v>5</v>
      </c>
      <c r="M13" s="50">
        <f>C34+(H$13-1)*D34/H$13+(H$13-1)*(H$13-2)*E34/H$13^2</f>
        <v/>
      </c>
      <c r="N13" s="50">
        <f>F34+(H$13-1)*G34/H$13+(H$13-1)*(H$13-2)*H34/H$13^2</f>
        <v/>
      </c>
      <c r="O13" s="50">
        <f>M13*H$9^L13</f>
        <v/>
      </c>
      <c r="P13" s="50">
        <f>N13*H$9^L13</f>
        <v/>
      </c>
      <c r="Q13" s="50" t="n"/>
      <c r="R13" s="3" t="n"/>
    </row>
    <row r="14">
      <c r="A14" s="21" t="inlineStr">
        <is>
          <t>Component number, i</t>
        </is>
      </c>
      <c r="B14" s="56" t="n">
        <v>1</v>
      </c>
      <c r="C14" s="56" t="n">
        <v>2</v>
      </c>
      <c r="D14" s="56" t="n">
        <v>3</v>
      </c>
      <c r="H14" s="56" t="n"/>
      <c r="L14" s="9" t="n">
        <v>6</v>
      </c>
      <c r="M14" s="50">
        <f>C35+(H$13-1)*D35/H$13+(H$13-1)*(H$13-2)*E35/H$13^2</f>
        <v/>
      </c>
      <c r="N14" s="50">
        <f>F35+(H$13-1)*G35/H$13+(H$13-1)*(H$13-2)*H35/H$13^2</f>
        <v/>
      </c>
      <c r="O14" s="50">
        <f>M14*H$9^L14</f>
        <v/>
      </c>
      <c r="P14" s="50">
        <f>N14*H$9^L14</f>
        <v/>
      </c>
      <c r="R14" s="77" t="inlineStr">
        <is>
          <t>(Eq. A19 [1])</t>
        </is>
      </c>
    </row>
    <row r="15" ht="18" customHeight="1">
      <c r="A15" s="21" t="inlineStr">
        <is>
          <t>Mole fraction, xi</t>
        </is>
      </c>
      <c r="B15" s="86" t="n">
        <v>0.1</v>
      </c>
      <c r="C15" s="86" t="n">
        <v>0.3</v>
      </c>
      <c r="D15" s="86" t="n">
        <v>0.6</v>
      </c>
      <c r="J15" s="45" t="n"/>
    </row>
    <row r="16" ht="18" customHeight="1">
      <c r="A16" s="21" t="inlineStr">
        <is>
          <t>Number of segments, mi</t>
        </is>
      </c>
      <c r="B16" s="86" t="n">
        <v>1</v>
      </c>
      <c r="C16" s="86" t="n">
        <v>1.6069</v>
      </c>
      <c r="D16" s="86" t="n">
        <v>2.002</v>
      </c>
      <c r="E16" s="85" t="inlineStr">
        <is>
          <t>[1]</t>
        </is>
      </c>
      <c r="M16" s="92">
        <f>SUM(O8:O14)</f>
        <v/>
      </c>
      <c r="N16" s="63" t="inlineStr">
        <is>
          <t>(Eq. A16 [1])</t>
        </is>
      </c>
      <c r="P16" s="92" t="n"/>
      <c r="Q16" s="92" t="n"/>
      <c r="R16" s="87" t="n"/>
      <c r="S16" s="87" t="n"/>
    </row>
    <row r="17" ht="18" customHeight="1">
      <c r="A17" s="21" t="inlineStr">
        <is>
          <t>Temperature-independent segment diameter, σi /Å</t>
        </is>
      </c>
      <c r="B17" s="86" t="n">
        <v>3.7039</v>
      </c>
      <c r="C17" s="86" t="n">
        <v>3.5206</v>
      </c>
      <c r="D17" s="86" t="n">
        <v>3.6184</v>
      </c>
      <c r="E17" s="85" t="inlineStr">
        <is>
          <t>[1]</t>
        </is>
      </c>
      <c r="M17" s="87" t="n"/>
    </row>
    <row r="18" ht="18" customHeight="1">
      <c r="A18" s="21" t="inlineStr">
        <is>
          <t>Depth of pair potential / Boltzmann constant, εi/k /K</t>
        </is>
      </c>
      <c r="B18" s="56" t="n">
        <v>150.03</v>
      </c>
      <c r="C18" s="56" t="n">
        <v>191.42</v>
      </c>
      <c r="D18" s="56" t="n">
        <v>208.11</v>
      </c>
      <c r="E18" s="85" t="inlineStr">
        <is>
          <t>[1]</t>
        </is>
      </c>
      <c r="M18" s="92">
        <f>SUM(P8:P14)</f>
        <v/>
      </c>
      <c r="N18" s="63" t="inlineStr">
        <is>
          <t>(Eq. A17 [1])</t>
        </is>
      </c>
      <c r="P18" s="89" t="n"/>
      <c r="Q18" s="89" t="n"/>
      <c r="S18" s="87" t="n"/>
    </row>
    <row r="19" ht="18" customHeight="1">
      <c r="A19" s="21" t="inlineStr">
        <is>
          <t>Temperature-dependent segment diameter, di /Å</t>
        </is>
      </c>
      <c r="B19" s="86">
        <f>B17*(1-0.12*EXP(-3*B18/$B6))</f>
        <v/>
      </c>
      <c r="C19" s="86">
        <f>C17*(1-0.12*EXP(-3*C18/$B6))</f>
        <v/>
      </c>
      <c r="D19" s="86">
        <f>D17*(1-0.12*EXP(-3*D18/$B6))</f>
        <v/>
      </c>
      <c r="E19" s="69" t="inlineStr">
        <is>
          <t>(Eq. A9 [1])</t>
        </is>
      </c>
      <c r="G19" s="54" t="n"/>
      <c r="M19" s="87" t="n"/>
    </row>
    <row r="20">
      <c r="A20" s="30" t="inlineStr">
        <is>
          <t>Radial distribution function of hard-chain fluid,</t>
        </is>
      </c>
      <c r="B20" s="86">
        <f>(1/(1-$H9))+(B19/2)*3*$H8/(1-$H9)^2+(B19/2)^2*2*$H8^2/(1-$H9)^3</f>
        <v/>
      </c>
      <c r="C20" s="86">
        <f>(1/(1-$H9))+(C19/2)*3*$H8/(1-$H9)^2+(C19/2)^2*2*$H8^2/(1-$H9)^3</f>
        <v/>
      </c>
      <c r="D20" s="86">
        <f>(1/(1-$H9))+(D19/2)*3*$H8/(1-$H9)^2+(D19/2)^2*2*$H8^2/(1-$H9)^3</f>
        <v/>
      </c>
      <c r="E20" s="63" t="inlineStr">
        <is>
          <t>(Eq. A7 [1])</t>
        </is>
      </c>
      <c r="F20" s="25" t="n"/>
      <c r="G20" s="25" t="n"/>
      <c r="M20" s="87">
        <f>1/(1+(H13*(8*H9-2*H9^2)/(1-H9)^4)+(1-H13)*(20*H9-27*H9^2+12*H9^3-2*H9^4)/((1-H9)*(2-H9))^2)</f>
        <v/>
      </c>
      <c r="N20" s="72" t="inlineStr">
        <is>
          <t>(Eq. A11 [1])</t>
        </is>
      </c>
      <c r="S20" s="54" t="n"/>
    </row>
    <row r="21" ht="18" customHeight="1">
      <c r="A21" s="32" t="inlineStr">
        <is>
          <t>mi − 1</t>
        </is>
      </c>
      <c r="B21" s="86">
        <f>B16-1</f>
        <v/>
      </c>
      <c r="C21" s="86">
        <f>C16-1</f>
        <v/>
      </c>
      <c r="D21" s="86">
        <f>D16-1</f>
        <v/>
      </c>
      <c r="E21" s="54" t="n"/>
      <c r="F21" s="54" t="n"/>
      <c r="G21" s="54" t="n"/>
      <c r="M21" s="87" t="n"/>
    </row>
    <row r="22">
      <c r="A22" s="52" t="n"/>
      <c r="B22" s="93">
        <f>LN(B20)</f>
        <v/>
      </c>
      <c r="C22" s="93">
        <f>LN(C20)</f>
        <v/>
      </c>
      <c r="D22" s="93">
        <f>LN(D20)</f>
        <v/>
      </c>
      <c r="M22" s="87">
        <f>SUM(S40:U42)</f>
        <v/>
      </c>
      <c r="N22" s="63" t="inlineStr">
        <is>
          <t>(Eq. A12 [1])</t>
        </is>
      </c>
    </row>
    <row r="23">
      <c r="A23" s="25" t="n"/>
      <c r="B23" s="86" t="n"/>
      <c r="C23" s="86" t="n"/>
      <c r="D23" s="86" t="n"/>
      <c r="E23" s="63" t="n"/>
      <c r="M23" s="87" t="n"/>
    </row>
    <row r="24">
      <c r="A24" s="56" t="n"/>
      <c r="B24" s="54" t="n"/>
      <c r="C24" s="54" t="n"/>
      <c r="D24" s="54" t="n"/>
      <c r="E24" s="29" t="n"/>
      <c r="M24" s="87">
        <f>SUM(S46:U48)</f>
        <v/>
      </c>
      <c r="N24" s="63" t="inlineStr">
        <is>
          <t>(Eq. A13 [1])</t>
        </is>
      </c>
    </row>
    <row r="25">
      <c r="E25" s="29" t="n"/>
    </row>
    <row r="26" ht="18" customHeight="1">
      <c r="B26" s="64" t="inlineStr">
        <is>
          <t>Universal Model Constants (Table 1 [1]):</t>
        </is>
      </c>
      <c r="C26" s="25" t="n"/>
      <c r="D26" s="25" t="n"/>
      <c r="E26" s="29" t="n"/>
      <c r="L26" s="47" t="inlineStr">
        <is>
          <t>kij ↘ [2]</t>
        </is>
      </c>
      <c r="R26" s="47" t="inlineStr">
        <is>
          <t>xi.xj ↘</t>
        </is>
      </c>
    </row>
    <row r="27" ht="18" customHeight="1">
      <c r="A27" s="56" t="n"/>
      <c r="B27" s="25" t="n"/>
      <c r="C27" s="25" t="n"/>
      <c r="D27" s="25" t="n"/>
      <c r="E27" s="29" t="n"/>
      <c r="L27" s="7" t="inlineStr">
        <is>
          <t>i↓ /  j→</t>
        </is>
      </c>
      <c r="M27" s="8" t="n">
        <v>1</v>
      </c>
      <c r="N27" s="8" t="n">
        <v>2</v>
      </c>
      <c r="O27" s="8" t="n">
        <v>3</v>
      </c>
      <c r="P27" s="56" t="n"/>
      <c r="Q27" s="56" t="n"/>
      <c r="R27" s="42" t="inlineStr">
        <is>
          <t>xi↓ / xj→</t>
        </is>
      </c>
      <c r="S27" s="94">
        <f>B15</f>
        <v/>
      </c>
      <c r="T27" s="94">
        <f>C15</f>
        <v/>
      </c>
      <c r="U27" s="94">
        <f>D15</f>
        <v/>
      </c>
    </row>
    <row r="28" ht="18" customHeight="1">
      <c r="B28" s="36" t="inlineStr">
        <is>
          <t>i</t>
        </is>
      </c>
      <c r="C28" s="37" t="inlineStr">
        <is>
          <t>a0i</t>
        </is>
      </c>
      <c r="D28" s="37" t="inlineStr">
        <is>
          <t>a1i</t>
        </is>
      </c>
      <c r="E28" s="37" t="inlineStr">
        <is>
          <t>a2i</t>
        </is>
      </c>
      <c r="F28" s="37" t="inlineStr">
        <is>
          <t>b0i</t>
        </is>
      </c>
      <c r="G28" s="37" t="inlineStr">
        <is>
          <t>b1i</t>
        </is>
      </c>
      <c r="H28" s="37" t="inlineStr">
        <is>
          <t>b2i</t>
        </is>
      </c>
      <c r="L28" s="9" t="n">
        <v>1</v>
      </c>
      <c r="M28" s="50" t="n">
        <v>0</v>
      </c>
      <c r="N28" s="50">
        <f>M29</f>
        <v/>
      </c>
      <c r="O28" s="50">
        <f>M30</f>
        <v/>
      </c>
      <c r="P28" s="50" t="n"/>
      <c r="Q28" s="50" t="n"/>
      <c r="R28" s="95">
        <f>S27</f>
        <v/>
      </c>
      <c r="S28" s="50">
        <f>S$27*$R28</f>
        <v/>
      </c>
      <c r="T28" s="50">
        <f>T$27*$R28</f>
        <v/>
      </c>
      <c r="U28" s="50">
        <f>U$27*$R28</f>
        <v/>
      </c>
    </row>
    <row r="29">
      <c r="B29" s="9" t="n">
        <v>0</v>
      </c>
      <c r="C29" s="91" t="n">
        <v>0.9105631445</v>
      </c>
      <c r="D29" s="91" t="n">
        <v>-0.3084016918</v>
      </c>
      <c r="E29" s="91" t="n">
        <v>-0.0906148351</v>
      </c>
      <c r="F29" s="91" t="n">
        <v>0.7240946941</v>
      </c>
      <c r="G29" s="91" t="n">
        <v>-0.5755498075</v>
      </c>
      <c r="H29" s="91" t="n">
        <v>0.09768831159999999</v>
      </c>
      <c r="L29" s="9" t="n">
        <v>2</v>
      </c>
      <c r="M29" s="50" t="n">
        <v>0.0003</v>
      </c>
      <c r="N29" s="50" t="n">
        <v>0</v>
      </c>
      <c r="O29" s="50">
        <f>N30</f>
        <v/>
      </c>
      <c r="P29" s="50" t="n"/>
      <c r="Q29" s="50" t="n"/>
      <c r="R29" s="95">
        <f>T27</f>
        <v/>
      </c>
      <c r="S29" s="50">
        <f>S$27*$R29</f>
        <v/>
      </c>
      <c r="T29" s="50">
        <f>T$27*$R29</f>
        <v/>
      </c>
      <c r="U29" s="50">
        <f>U$27*$R29</f>
        <v/>
      </c>
    </row>
    <row r="30">
      <c r="B30" s="9" t="n">
        <v>1</v>
      </c>
      <c r="C30" s="91" t="n">
        <v>0.6361281449</v>
      </c>
      <c r="D30" s="91" t="n">
        <v>0.1860531159</v>
      </c>
      <c r="E30" s="91" t="n">
        <v>0.4527842806</v>
      </c>
      <c r="F30" s="91" t="n">
        <v>2.2382791861</v>
      </c>
      <c r="G30" s="91" t="n">
        <v>0.6995095521</v>
      </c>
      <c r="H30" s="91" t="n">
        <v>-0.2557574982</v>
      </c>
      <c r="L30" s="9" t="n">
        <v>3</v>
      </c>
      <c r="M30" s="50" t="n">
        <v>0.0115</v>
      </c>
      <c r="N30" s="50" t="n">
        <v>0.0051</v>
      </c>
      <c r="O30" s="50" t="n">
        <v>0</v>
      </c>
      <c r="P30" s="50" t="n"/>
      <c r="Q30" s="50" t="n"/>
      <c r="R30" s="95">
        <f>U27</f>
        <v/>
      </c>
      <c r="S30" s="50">
        <f>S$27*$R30</f>
        <v/>
      </c>
      <c r="T30" s="50">
        <f>T$27*$R30</f>
        <v/>
      </c>
      <c r="U30" s="50">
        <f>U$27*$R30</f>
        <v/>
      </c>
      <c r="V30" s="54" t="n"/>
      <c r="W30" s="54" t="n"/>
    </row>
    <row r="31" customFormat="1" s="54">
      <c r="A31" s="49" t="n"/>
      <c r="B31" s="9" t="n">
        <v>2</v>
      </c>
      <c r="C31" s="91" t="n">
        <v>2.6861347891</v>
      </c>
      <c r="D31" s="91" t="n">
        <v>-2.5030047259</v>
      </c>
      <c r="E31" s="91" t="n">
        <v>0.5962700728</v>
      </c>
      <c r="F31" s="91" t="n">
        <v>-4.0025849485</v>
      </c>
      <c r="G31" s="91" t="n">
        <v>3.892567339</v>
      </c>
      <c r="H31" s="91" t="n">
        <v>-9.155856153</v>
      </c>
      <c r="L31" s="25" t="n"/>
      <c r="M31" s="25" t="n"/>
      <c r="N31" s="25" t="n"/>
      <c r="O31" s="25" t="n"/>
      <c r="P31" s="25" t="n"/>
      <c r="Q31" s="25" t="n"/>
      <c r="R31" s="25" t="n"/>
      <c r="S31" s="25" t="n"/>
      <c r="T31" s="25" t="n"/>
      <c r="U31" s="25" t="n"/>
      <c r="V31" s="25" t="n"/>
      <c r="W31" s="25" t="n"/>
    </row>
    <row r="32" ht="18" customHeight="1">
      <c r="A32" s="49" t="n"/>
      <c r="B32" s="9" t="n">
        <v>3</v>
      </c>
      <c r="C32" s="91" t="n">
        <v>-26.547362491</v>
      </c>
      <c r="D32" s="91" t="n">
        <v>21.419793629</v>
      </c>
      <c r="E32" s="91" t="n">
        <v>-1.7241829131</v>
      </c>
      <c r="F32" s="91" t="n">
        <v>-21.003576815</v>
      </c>
      <c r="G32" s="91" t="n">
        <v>-17.215471648</v>
      </c>
      <c r="H32" s="91" t="n">
        <v>20.642075974</v>
      </c>
      <c r="L32" s="47" t="inlineStr">
        <is>
          <t>σij ↘</t>
        </is>
      </c>
      <c r="M32" s="76" t="inlineStr">
        <is>
          <t>(Eq. A14 [1])</t>
        </is>
      </c>
      <c r="R32" s="47" t="inlineStr">
        <is>
          <t>mi.mj ↘</t>
        </is>
      </c>
    </row>
    <row r="33" ht="18" customHeight="1">
      <c r="A33" s="49" t="n"/>
      <c r="B33" s="9" t="n">
        <v>4</v>
      </c>
      <c r="C33" s="91" t="n">
        <v>97.75920878399999</v>
      </c>
      <c r="D33" s="91" t="n">
        <v>-65.25588533</v>
      </c>
      <c r="E33" s="91" t="n">
        <v>-4.1302112531</v>
      </c>
      <c r="F33" s="91" t="n">
        <v>26.855641363</v>
      </c>
      <c r="G33" s="91" t="n">
        <v>192.67226447</v>
      </c>
      <c r="H33" s="91" t="n">
        <v>-38.804430052</v>
      </c>
      <c r="L33" s="42" t="inlineStr">
        <is>
          <t>σi↓ / σj→</t>
        </is>
      </c>
      <c r="M33" s="94">
        <f>B17</f>
        <v/>
      </c>
      <c r="N33" s="94">
        <f>C17</f>
        <v/>
      </c>
      <c r="O33" s="94">
        <f>D17</f>
        <v/>
      </c>
      <c r="P33" s="96" t="n"/>
      <c r="Q33" s="96" t="n"/>
      <c r="R33" s="42" t="inlineStr">
        <is>
          <t>mi↓ / mj→</t>
        </is>
      </c>
      <c r="S33" s="43">
        <f>B16</f>
        <v/>
      </c>
      <c r="T33" s="43">
        <f>C16</f>
        <v/>
      </c>
      <c r="U33" s="43">
        <f>D16</f>
        <v/>
      </c>
    </row>
    <row r="34">
      <c r="A34" s="49" t="n"/>
      <c r="B34" s="9" t="n">
        <v>5</v>
      </c>
      <c r="C34" s="91" t="n">
        <v>-159.59154087</v>
      </c>
      <c r="D34" s="91" t="n">
        <v>83.318680481</v>
      </c>
      <c r="E34" s="91" t="n">
        <v>13.77663187</v>
      </c>
      <c r="F34" s="91" t="n">
        <v>206.55133841</v>
      </c>
      <c r="G34" s="91" t="n">
        <v>-161.82646165</v>
      </c>
      <c r="H34" s="91" t="n">
        <v>93.62677407699999</v>
      </c>
      <c r="L34" s="95">
        <f>M33</f>
        <v/>
      </c>
      <c r="M34" s="4">
        <f>0.5*(M$33+$L34)</f>
        <v/>
      </c>
      <c r="N34" s="4">
        <f>0.5*(N$33+$L34)</f>
        <v/>
      </c>
      <c r="O34" s="4">
        <f>0.5*(O$33+$L34)</f>
        <v/>
      </c>
      <c r="P34" s="4" t="n"/>
      <c r="Q34" s="4" t="n"/>
      <c r="R34" s="44">
        <f>S33</f>
        <v/>
      </c>
      <c r="S34" s="50">
        <f>S$33*$R34</f>
        <v/>
      </c>
      <c r="T34" s="50">
        <f>T$33*$R34</f>
        <v/>
      </c>
      <c r="U34" s="50">
        <f>U$33*$R34</f>
        <v/>
      </c>
    </row>
    <row r="35">
      <c r="A35" s="49" t="n"/>
      <c r="B35" s="9" t="n">
        <v>6</v>
      </c>
      <c r="C35" s="91" t="n">
        <v>91.297774084</v>
      </c>
      <c r="D35" s="91" t="n">
        <v>-33.74692293</v>
      </c>
      <c r="E35" s="91" t="n">
        <v>-8.6728470368</v>
      </c>
      <c r="F35" s="91" t="n">
        <v>-355.60235612</v>
      </c>
      <c r="G35" s="91" t="n">
        <v>-165.20769346</v>
      </c>
      <c r="H35" s="91" t="n">
        <v>-29.666905585</v>
      </c>
      <c r="L35" s="95">
        <f>N33</f>
        <v/>
      </c>
      <c r="M35" s="4">
        <f>0.5*(M$33+$L35)</f>
        <v/>
      </c>
      <c r="N35" s="4">
        <f>0.5*(N$33+$L35)</f>
        <v/>
      </c>
      <c r="O35" s="4">
        <f>0.5*(O$33+$L35)</f>
        <v/>
      </c>
      <c r="P35" s="4" t="n"/>
      <c r="Q35" s="4" t="n"/>
      <c r="R35" s="44">
        <f>T33</f>
        <v/>
      </c>
      <c r="S35" s="50">
        <f>S$33*$R35</f>
        <v/>
      </c>
      <c r="T35" s="50">
        <f>T$33*$R35</f>
        <v/>
      </c>
      <c r="U35" s="50">
        <f>U$33*$R35</f>
        <v/>
      </c>
    </row>
    <row r="36">
      <c r="A36" s="49" t="n"/>
      <c r="B36" s="49" t="n"/>
      <c r="C36" s="49" t="n"/>
      <c r="D36" s="49" t="n"/>
      <c r="L36" s="95">
        <f>O33</f>
        <v/>
      </c>
      <c r="M36" s="4">
        <f>0.5*(M$33+$L36)</f>
        <v/>
      </c>
      <c r="N36" s="4">
        <f>0.5*(N$33+$L36)</f>
        <v/>
      </c>
      <c r="O36" s="4">
        <f>0.5*(O$33+$L36)</f>
        <v/>
      </c>
      <c r="P36" s="4" t="n"/>
      <c r="Q36" s="4" t="n"/>
      <c r="R36" s="44">
        <f>U33</f>
        <v/>
      </c>
      <c r="S36" s="50">
        <f>S$33*$R36</f>
        <v/>
      </c>
      <c r="T36" s="50">
        <f>T$33*$R36</f>
        <v/>
      </c>
      <c r="U36" s="50">
        <f>U$33*$R36</f>
        <v/>
      </c>
    </row>
    <row r="37">
      <c r="A37" s="49" t="n"/>
      <c r="B37" s="49" t="n"/>
      <c r="C37" s="46" t="n"/>
      <c r="D37" s="46" t="n"/>
      <c r="E37" s="46" t="n"/>
      <c r="F37" s="46" t="n"/>
      <c r="G37" s="46" t="n"/>
      <c r="H37" s="46" t="n"/>
    </row>
    <row r="38" ht="18.75" customHeight="1">
      <c r="A38" s="49" t="n"/>
      <c r="B38" s="49" t="n"/>
      <c r="C38" s="46" t="n"/>
      <c r="D38" s="46" t="n"/>
      <c r="E38" s="46" t="n"/>
      <c r="F38" s="46" t="n"/>
      <c r="G38" s="46" t="n"/>
      <c r="H38" s="46" t="n"/>
      <c r="L38" s="47" t="inlineStr">
        <is>
          <t>εij/k ↘</t>
        </is>
      </c>
      <c r="M38" s="76" t="inlineStr">
        <is>
          <t>(Eq. A15 [1])</t>
        </is>
      </c>
      <c r="N38" s="54" t="n"/>
      <c r="O38" s="54" t="n"/>
      <c r="P38" s="54" t="n"/>
      <c r="Q38" s="54" t="n"/>
      <c r="R38" s="47" t="inlineStr">
        <is>
          <t>xixjmimj(εij/kT)σij3 ↘</t>
        </is>
      </c>
    </row>
    <row r="39" ht="18" customHeight="1">
      <c r="A39" s="49" t="n"/>
      <c r="B39" s="49" t="n"/>
      <c r="C39" s="46" t="n"/>
      <c r="D39" s="46" t="n"/>
      <c r="E39" s="46" t="n"/>
      <c r="F39" s="46" t="n"/>
      <c r="G39" s="46" t="n"/>
      <c r="H39" s="46" t="n"/>
      <c r="L39" s="42" t="inlineStr">
        <is>
          <t>εi/k ↓ / εj/k →</t>
        </is>
      </c>
      <c r="M39" s="39">
        <f>B18</f>
        <v/>
      </c>
      <c r="N39" s="39">
        <f>C18</f>
        <v/>
      </c>
      <c r="O39" s="39">
        <f>D18</f>
        <v/>
      </c>
      <c r="P39" s="49" t="n"/>
      <c r="Q39" s="49" t="n"/>
      <c r="R39" s="7" t="inlineStr">
        <is>
          <t>i↓ /  j→</t>
        </is>
      </c>
      <c r="S39" s="8" t="n">
        <v>1</v>
      </c>
      <c r="T39" s="8" t="n">
        <v>2</v>
      </c>
      <c r="U39" s="8" t="n">
        <v>3</v>
      </c>
    </row>
    <row r="40">
      <c r="A40" s="49" t="n"/>
      <c r="B40" s="49" t="n"/>
      <c r="C40" s="46" t="n"/>
      <c r="D40" s="46" t="n"/>
      <c r="E40" s="46" t="n"/>
      <c r="F40" s="46" t="n"/>
      <c r="G40" s="46" t="n"/>
      <c r="H40" s="46" t="n"/>
      <c r="L40" s="19">
        <f>M39</f>
        <v/>
      </c>
      <c r="M40" s="50">
        <f>SQRT(M$39*$L40)*(1-M28)</f>
        <v/>
      </c>
      <c r="N40" s="50">
        <f>SQRT(N$39*$L40)*(1-N28)</f>
        <v/>
      </c>
      <c r="O40" s="50">
        <f>SQRT(O$39*$L40)*(1-O28)</f>
        <v/>
      </c>
      <c r="P40" s="50" t="n"/>
      <c r="Q40" s="50" t="n"/>
      <c r="R40" s="11">
        <f>S39</f>
        <v/>
      </c>
      <c r="S40" s="50">
        <f>S28*S34*(M40/$B$6)*M34^3</f>
        <v/>
      </c>
      <c r="T40" s="50">
        <f>T28*T34*(N40/$B$6)*N34^3</f>
        <v/>
      </c>
      <c r="U40" s="50">
        <f>U28*U34*(O40/$B$6)*O34^3</f>
        <v/>
      </c>
    </row>
    <row r="41">
      <c r="A41" s="49" t="n"/>
      <c r="B41" s="49" t="n"/>
      <c r="C41" s="46" t="n"/>
      <c r="D41" s="46" t="n"/>
      <c r="E41" s="46" t="n"/>
      <c r="F41" s="46" t="n"/>
      <c r="G41" s="46" t="n"/>
      <c r="H41" s="46" t="n"/>
      <c r="L41" s="19">
        <f>N39</f>
        <v/>
      </c>
      <c r="M41" s="50">
        <f>SQRT(M$39*$L41)*(1-M29)</f>
        <v/>
      </c>
      <c r="N41" s="50">
        <f>SQRT(N$39*$L41)*(1-N29)</f>
        <v/>
      </c>
      <c r="O41" s="50">
        <f>SQRT(O$39*$L41)*(1-O29)</f>
        <v/>
      </c>
      <c r="P41" s="50" t="n"/>
      <c r="Q41" s="50" t="n"/>
      <c r="R41" s="11">
        <f>T39</f>
        <v/>
      </c>
      <c r="S41" s="50">
        <f>S29*S35*(M41/$B$6)*M35^3</f>
        <v/>
      </c>
      <c r="T41" s="50">
        <f>T29*T35*(N41/$B$6)*N35^3</f>
        <v/>
      </c>
      <c r="U41" s="50">
        <f>U29*U35*(O41/$B$6)*O35^3</f>
        <v/>
      </c>
    </row>
    <row r="42">
      <c r="A42" s="49" t="n"/>
      <c r="B42" s="49" t="n"/>
      <c r="C42" s="46" t="n"/>
      <c r="D42" s="46" t="n"/>
      <c r="E42" s="46" t="n"/>
      <c r="F42" s="46" t="n"/>
      <c r="G42" s="46" t="n"/>
      <c r="H42" s="46" t="n"/>
      <c r="L42" s="19">
        <f>O39</f>
        <v/>
      </c>
      <c r="M42" s="50">
        <f>SQRT(M$39*$L42)*(1-M30)</f>
        <v/>
      </c>
      <c r="N42" s="50">
        <f>SQRT(N$39*$L42)*(1-N30)</f>
        <v/>
      </c>
      <c r="O42" s="50">
        <f>SQRT(O$39*$L42)*(1-O30)</f>
        <v/>
      </c>
      <c r="P42" s="50" t="n"/>
      <c r="Q42" s="50" t="n"/>
      <c r="R42" s="11">
        <f>U39</f>
        <v/>
      </c>
      <c r="S42" s="50">
        <f>S30*S36*(M42/$B$6)*M36^3</f>
        <v/>
      </c>
      <c r="T42" s="50">
        <f>T30*T36*(N42/$B$6)*N36^3</f>
        <v/>
      </c>
      <c r="U42" s="50">
        <f>U30*U36*(O42/$B$6)*O36^3</f>
        <v/>
      </c>
    </row>
    <row r="43">
      <c r="A43" s="49" t="n"/>
      <c r="B43" s="49" t="n"/>
      <c r="C43" s="46" t="n"/>
      <c r="D43" s="46" t="n"/>
      <c r="E43" s="46" t="n"/>
      <c r="F43" s="46" t="n"/>
      <c r="G43" s="46" t="n"/>
      <c r="H43" s="46" t="n"/>
    </row>
    <row r="44" ht="18.75" customHeight="1">
      <c r="A44" s="49" t="n"/>
      <c r="B44" s="49" t="n"/>
      <c r="C44" s="49" t="n"/>
      <c r="D44" s="49" t="n"/>
      <c r="L44" s="47" t="n"/>
      <c r="M44" s="25" t="n"/>
      <c r="N44" s="25" t="n"/>
      <c r="O44" s="25" t="n"/>
      <c r="P44" s="25" t="n"/>
      <c r="Q44" s="25" t="n"/>
      <c r="R44" s="47" t="inlineStr">
        <is>
          <t>xixjmimj(εij/kT)2σij3 ↘</t>
        </is>
      </c>
    </row>
    <row r="45">
      <c r="A45" s="49" t="n"/>
      <c r="B45" s="49" t="n"/>
      <c r="C45" s="50" t="n"/>
      <c r="D45" s="50" t="n"/>
      <c r="E45" s="50" t="n"/>
      <c r="F45" s="50" t="n"/>
      <c r="G45" s="50" t="n"/>
      <c r="H45" s="50" t="n"/>
      <c r="L45" s="48" t="n"/>
      <c r="M45" s="49" t="n"/>
      <c r="N45" s="49" t="n"/>
      <c r="O45" s="49" t="n"/>
      <c r="P45" s="49" t="n"/>
      <c r="Q45" s="49" t="n"/>
      <c r="R45" s="7" t="inlineStr">
        <is>
          <t>i↓ /  j→</t>
        </is>
      </c>
      <c r="S45" s="8" t="n">
        <v>1</v>
      </c>
      <c r="T45" s="8" t="n">
        <v>2</v>
      </c>
      <c r="U45" s="8" t="n">
        <v>3</v>
      </c>
    </row>
    <row r="46">
      <c r="A46" s="49" t="n"/>
      <c r="B46" s="49" t="n"/>
      <c r="C46" s="50" t="n"/>
      <c r="D46" s="50" t="n"/>
      <c r="E46" s="50" t="n"/>
      <c r="F46" s="50" t="n"/>
      <c r="G46" s="50" t="n"/>
      <c r="H46" s="50" t="n"/>
      <c r="L46" s="49" t="n"/>
      <c r="M46" s="50" t="n"/>
      <c r="N46" s="50" t="n"/>
      <c r="O46" s="50" t="n"/>
      <c r="P46" s="50" t="n"/>
      <c r="Q46" s="50" t="n"/>
      <c r="R46" s="11">
        <f>S45</f>
        <v/>
      </c>
      <c r="S46" s="50">
        <f>S28*S34*(M40/$B$6)^2*M34^3</f>
        <v/>
      </c>
      <c r="T46" s="50">
        <f>T28*T34*(N40/$B$6)^2*N34^3</f>
        <v/>
      </c>
      <c r="U46" s="50">
        <f>U28*U34*(O40/$B$6)^2*O34^3</f>
        <v/>
      </c>
    </row>
    <row r="47">
      <c r="A47" s="49" t="n"/>
      <c r="B47" s="49" t="n"/>
      <c r="C47" s="50" t="n"/>
      <c r="D47" s="50" t="n"/>
      <c r="E47" s="50" t="n"/>
      <c r="F47" s="50" t="n"/>
      <c r="G47" s="50" t="n"/>
      <c r="H47" s="50" t="n"/>
      <c r="L47" s="49" t="n"/>
      <c r="M47" s="50" t="n"/>
      <c r="N47" s="50" t="n"/>
      <c r="O47" s="50" t="n"/>
      <c r="P47" s="50" t="n"/>
      <c r="Q47" s="50" t="n"/>
      <c r="R47" s="11">
        <f>T45</f>
        <v/>
      </c>
      <c r="S47" s="50">
        <f>S29*S35*(M41/$B$6)^2*M35^3</f>
        <v/>
      </c>
      <c r="T47" s="50">
        <f>T29*T35*(N41/$B$6)^2*N35^3</f>
        <v/>
      </c>
      <c r="U47" s="50">
        <f>U29*U35*(O41/$B$6)^2*O35^3</f>
        <v/>
      </c>
    </row>
    <row r="48">
      <c r="A48" s="49" t="n"/>
      <c r="B48" s="49" t="n"/>
      <c r="C48" s="50" t="n"/>
      <c r="D48" s="50" t="n"/>
      <c r="E48" s="50" t="n"/>
      <c r="F48" s="50" t="n"/>
      <c r="G48" s="50" t="n"/>
      <c r="H48" s="50" t="n"/>
      <c r="L48" s="49" t="n"/>
      <c r="M48" s="50" t="n"/>
      <c r="N48" s="50" t="n"/>
      <c r="O48" s="50" t="n"/>
      <c r="P48" s="50" t="n"/>
      <c r="Q48" s="50" t="n"/>
      <c r="R48" s="11">
        <f>U45</f>
        <v/>
      </c>
      <c r="S48" s="50">
        <f>S30*S36*(M42/$B$6)^2*M36^3</f>
        <v/>
      </c>
      <c r="T48" s="50">
        <f>T30*T36*(N42/$B$6)^2*N36^3</f>
        <v/>
      </c>
      <c r="U48" s="50">
        <f>U30*U36*(O42/$B$6)^2*O36^3</f>
        <v/>
      </c>
    </row>
    <row r="49">
      <c r="A49" s="49" t="n"/>
      <c r="B49" s="49" t="n"/>
      <c r="C49" s="50" t="n"/>
      <c r="D49" s="50" t="n"/>
      <c r="E49" s="50" t="n"/>
      <c r="F49" s="50" t="n"/>
      <c r="G49" s="50" t="n"/>
      <c r="H49" s="50" t="n"/>
    </row>
    <row r="50">
      <c r="A50" s="49" t="n"/>
      <c r="B50" s="49" t="n"/>
      <c r="C50" s="50" t="n"/>
      <c r="D50" s="50" t="n"/>
      <c r="E50" s="50" t="n"/>
      <c r="F50" s="50" t="n"/>
      <c r="G50" s="50" t="n"/>
      <c r="H50" s="50" t="n"/>
    </row>
    <row r="51">
      <c r="A51" s="49" t="n"/>
      <c r="B51" s="49" t="n"/>
      <c r="C51" s="50" t="n"/>
      <c r="D51" s="50" t="n"/>
      <c r="E51" s="50" t="n"/>
      <c r="F51" s="50" t="n"/>
      <c r="G51" s="50" t="n"/>
      <c r="H51" s="50" t="n"/>
    </row>
    <row r="52">
      <c r="A52" s="49" t="n"/>
      <c r="B52" s="49" t="n"/>
      <c r="C52" s="50" t="n"/>
      <c r="D52" s="50" t="n"/>
      <c r="E52" s="50" t="n"/>
      <c r="F52" s="50" t="n"/>
      <c r="G52" s="50" t="n"/>
      <c r="H52" s="50" t="n"/>
    </row>
    <row r="53">
      <c r="A53" s="49" t="n"/>
      <c r="B53" s="49" t="n"/>
      <c r="C53" s="50" t="n"/>
      <c r="D53" s="50" t="n"/>
      <c r="E53" s="50" t="n"/>
      <c r="F53" s="50" t="n"/>
      <c r="G53" s="50" t="n"/>
      <c r="H53" s="50" t="n"/>
    </row>
    <row r="54">
      <c r="A54" s="49" t="n"/>
      <c r="B54" s="49" t="n"/>
      <c r="C54" s="49" t="n"/>
      <c r="D54" s="49" t="n"/>
    </row>
    <row r="55">
      <c r="A55" s="49" t="n"/>
      <c r="B55" s="49" t="n"/>
      <c r="C55" s="49" t="n"/>
      <c r="D55" s="49" t="n"/>
    </row>
    <row r="56">
      <c r="A56" s="49" t="n"/>
      <c r="B56" s="49" t="n"/>
      <c r="C56" s="49" t="n"/>
      <c r="D56" s="49" t="n"/>
    </row>
    <row r="57">
      <c r="A57" s="49" t="n"/>
      <c r="B57" s="49" t="n"/>
      <c r="C57" s="49" t="n"/>
      <c r="D57" s="49" t="n"/>
    </row>
    <row r="58">
      <c r="A58" s="49" t="n"/>
      <c r="B58" s="49" t="n"/>
      <c r="C58" s="49" t="n"/>
      <c r="D58" s="49" t="n"/>
    </row>
    <row r="59">
      <c r="A59" s="49" t="n"/>
      <c r="B59" s="49" t="n"/>
      <c r="C59" s="49" t="n"/>
      <c r="D59" s="49" t="n"/>
    </row>
    <row r="60">
      <c r="A60" s="49" t="n"/>
      <c r="B60" s="49" t="n"/>
      <c r="C60" s="49" t="n"/>
      <c r="D60" s="49" t="n"/>
    </row>
    <row r="61">
      <c r="A61" s="49" t="n"/>
      <c r="B61" s="49" t="n"/>
      <c r="C61" s="49" t="n"/>
      <c r="D61" s="49" t="n"/>
    </row>
    <row r="62">
      <c r="A62" s="49" t="n"/>
      <c r="B62" s="49" t="n"/>
      <c r="C62" s="49" t="n"/>
      <c r="D62" s="49" t="n"/>
    </row>
    <row r="63">
      <c r="A63" s="49" t="n"/>
      <c r="B63" s="49" t="n"/>
      <c r="C63" s="49" t="n"/>
      <c r="D63" s="49" t="n"/>
    </row>
    <row r="64">
      <c r="A64" s="49" t="n"/>
      <c r="B64" s="49" t="n"/>
      <c r="C64" s="49" t="n"/>
      <c r="D64" s="49" t="n"/>
    </row>
    <row r="65">
      <c r="A65" s="49" t="n"/>
      <c r="B65" s="49" t="n"/>
      <c r="C65" s="49" t="n"/>
      <c r="D65" s="49" t="n"/>
    </row>
    <row r="66">
      <c r="A66" s="49" t="n"/>
      <c r="B66" s="49" t="n"/>
      <c r="C66" s="49" t="n"/>
      <c r="D66" s="49" t="n"/>
    </row>
    <row r="67">
      <c r="A67" s="49" t="n"/>
      <c r="B67" s="49" t="n"/>
      <c r="C67" s="49" t="n"/>
      <c r="D67" s="49" t="n"/>
    </row>
    <row r="68">
      <c r="A68" s="49" t="n"/>
      <c r="B68" s="49" t="n"/>
      <c r="C68" s="49" t="n"/>
      <c r="D68" s="49" t="n"/>
    </row>
    <row r="69">
      <c r="A69" s="49" t="n"/>
      <c r="B69" s="49" t="n"/>
      <c r="C69" s="49" t="n"/>
      <c r="D69" s="49" t="n"/>
    </row>
    <row r="70">
      <c r="A70" s="49" t="n"/>
      <c r="B70" s="49" t="n"/>
      <c r="C70" s="49" t="n"/>
      <c r="D70" s="49" t="n"/>
    </row>
    <row r="71">
      <c r="A71" s="49" t="n"/>
      <c r="B71" s="49" t="n"/>
      <c r="C71" s="49" t="n"/>
      <c r="D71" s="49" t="n"/>
    </row>
    <row r="72">
      <c r="A72" s="49" t="n"/>
      <c r="B72" s="49" t="n"/>
      <c r="C72" s="49" t="n"/>
      <c r="D72" s="49" t="n"/>
    </row>
    <row r="73">
      <c r="A73" s="49" t="n"/>
      <c r="B73" s="49" t="n"/>
      <c r="C73" s="49" t="n"/>
      <c r="D73" s="49" t="n"/>
    </row>
    <row r="74">
      <c r="A74" s="49" t="n"/>
      <c r="B74" s="49" t="n"/>
      <c r="C74" s="49" t="n"/>
      <c r="D74" s="49" t="n"/>
    </row>
    <row r="75">
      <c r="A75" s="49" t="n"/>
      <c r="B75" s="49" t="n"/>
      <c r="C75" s="49" t="n"/>
      <c r="D75" s="49" t="n"/>
    </row>
    <row r="76">
      <c r="A76" s="49" t="n"/>
      <c r="B76" s="49" t="n"/>
      <c r="C76" s="49" t="n"/>
      <c r="D76" s="49" t="n"/>
    </row>
    <row r="77">
      <c r="A77" s="49" t="n"/>
      <c r="B77" s="49" t="n"/>
      <c r="C77" s="49" t="n"/>
      <c r="D77" s="49" t="n"/>
    </row>
    <row r="78">
      <c r="A78" s="49" t="n"/>
      <c r="B78" s="49" t="n"/>
      <c r="C78" s="49" t="n"/>
      <c r="D78" s="49" t="n"/>
    </row>
    <row r="79">
      <c r="A79" s="49" t="n"/>
      <c r="B79" s="49" t="n"/>
      <c r="C79" s="49" t="n"/>
      <c r="D79" s="49" t="n"/>
    </row>
    <row r="80">
      <c r="A80" s="49" t="n"/>
      <c r="B80" s="49" t="n"/>
      <c r="C80" s="49" t="n"/>
      <c r="D80" s="49" t="n"/>
    </row>
    <row r="81">
      <c r="A81" s="49" t="n"/>
      <c r="B81" s="49" t="n"/>
      <c r="C81" s="49" t="n"/>
      <c r="D81" s="49" t="n"/>
    </row>
    <row r="82">
      <c r="A82" s="49" t="n"/>
      <c r="B82" s="49" t="n"/>
      <c r="C82" s="49" t="n"/>
      <c r="D82" s="49" t="n"/>
    </row>
    <row r="83">
      <c r="A83" s="49" t="n"/>
      <c r="B83" s="49" t="n"/>
      <c r="C83" s="49" t="n"/>
      <c r="D83" s="49" t="n"/>
    </row>
    <row r="84">
      <c r="A84" s="49" t="n"/>
      <c r="B84" s="49" t="n"/>
      <c r="C84" s="49" t="n"/>
      <c r="D84" s="49" t="n"/>
    </row>
    <row r="85">
      <c r="A85" s="49" t="n"/>
      <c r="B85" s="49" t="n"/>
      <c r="C85" s="49" t="n"/>
      <c r="D85" s="49" t="n"/>
    </row>
    <row r="86">
      <c r="A86" s="49" t="n"/>
      <c r="B86" s="49" t="n"/>
      <c r="C86" s="49" t="n"/>
      <c r="D86" s="49" t="n"/>
    </row>
    <row r="87">
      <c r="A87" s="49" t="n"/>
      <c r="B87" s="49" t="n"/>
      <c r="C87" s="49" t="n"/>
      <c r="D87" s="49" t="n"/>
    </row>
    <row r="88">
      <c r="A88" s="49" t="n"/>
      <c r="B88" s="49" t="n"/>
      <c r="C88" s="49" t="n"/>
      <c r="D88" s="49" t="n"/>
    </row>
    <row r="89">
      <c r="A89" s="49" t="n"/>
      <c r="B89" s="49" t="n"/>
      <c r="C89" s="49" t="n"/>
      <c r="D89" s="49" t="n"/>
    </row>
    <row r="90">
      <c r="A90" s="49" t="n"/>
      <c r="B90" s="49" t="n"/>
      <c r="C90" s="49" t="n"/>
      <c r="D90" s="49" t="n"/>
    </row>
    <row r="91">
      <c r="A91" s="49" t="n"/>
      <c r="B91" s="49" t="n"/>
      <c r="C91" s="49" t="n"/>
      <c r="D91" s="49" t="n"/>
    </row>
    <row r="92">
      <c r="A92" s="49" t="n"/>
      <c r="B92" s="49" t="n"/>
      <c r="C92" s="49" t="n"/>
      <c r="D92" s="49" t="n"/>
    </row>
    <row r="93">
      <c r="A93" s="49" t="n"/>
      <c r="B93" s="49" t="n"/>
      <c r="C93" s="49" t="n"/>
      <c r="D93" s="49" t="n"/>
    </row>
    <row r="94">
      <c r="A94" s="49" t="n"/>
      <c r="B94" s="49" t="n"/>
      <c r="C94" s="49" t="n"/>
      <c r="D94" s="49" t="n"/>
    </row>
    <row r="95">
      <c r="A95" s="49" t="n"/>
      <c r="B95" s="49" t="n"/>
      <c r="C95" s="49" t="n"/>
      <c r="D95" s="49" t="n"/>
    </row>
    <row r="96">
      <c r="A96" s="49" t="n"/>
      <c r="B96" s="49" t="n"/>
      <c r="C96" s="49" t="n"/>
      <c r="D96" s="49" t="n"/>
    </row>
    <row r="97">
      <c r="A97" s="49" t="n"/>
      <c r="B97" s="49" t="n"/>
      <c r="C97" s="49" t="n"/>
      <c r="D97" s="49" t="n"/>
    </row>
    <row r="98">
      <c r="A98" s="49" t="n"/>
      <c r="B98" s="49" t="n"/>
      <c r="C98" s="49" t="n"/>
      <c r="D98" s="49" t="n"/>
    </row>
    <row r="99">
      <c r="A99" s="49" t="n"/>
      <c r="B99" s="49" t="n"/>
      <c r="C99" s="49" t="n"/>
      <c r="D99" s="49" t="n"/>
    </row>
    <row r="100">
      <c r="A100" s="49" t="n"/>
      <c r="B100" s="49" t="n"/>
      <c r="C100" s="49" t="n"/>
      <c r="D100" s="49" t="n"/>
    </row>
    <row r="101">
      <c r="A101" s="49" t="n"/>
      <c r="B101" s="49" t="n"/>
      <c r="C101" s="49" t="n"/>
      <c r="D101" s="49" t="n"/>
    </row>
    <row r="102">
      <c r="A102" s="49" t="n"/>
      <c r="B102" s="49" t="n"/>
      <c r="C102" s="49" t="n"/>
      <c r="D102" s="49" t="n"/>
    </row>
    <row r="103">
      <c r="A103" s="49" t="n"/>
      <c r="B103" s="49" t="n"/>
      <c r="C103" s="49" t="n"/>
      <c r="D103" s="49" t="n"/>
    </row>
    <row r="104">
      <c r="A104" s="49" t="n"/>
      <c r="B104" s="49" t="n"/>
      <c r="C104" s="49" t="n"/>
      <c r="D104" s="49" t="n"/>
    </row>
    <row r="105">
      <c r="A105" s="49" t="n"/>
      <c r="B105" s="49" t="n"/>
      <c r="C105" s="49" t="n"/>
      <c r="D105" s="49" t="n"/>
    </row>
    <row r="106">
      <c r="A106" s="49" t="n"/>
      <c r="B106" s="49" t="n"/>
      <c r="C106" s="49" t="n"/>
      <c r="D106" s="49" t="n"/>
    </row>
    <row r="107">
      <c r="A107" s="49" t="n"/>
      <c r="B107" s="49" t="n"/>
      <c r="C107" s="49" t="n"/>
      <c r="D107" s="49" t="n"/>
    </row>
    <row r="108">
      <c r="A108" s="49" t="n"/>
      <c r="B108" s="49" t="n"/>
      <c r="C108" s="49" t="n"/>
      <c r="D108" s="49" t="n"/>
    </row>
    <row r="109">
      <c r="A109" s="49" t="n"/>
      <c r="B109" s="49" t="n"/>
      <c r="C109" s="49" t="n"/>
      <c r="D109" s="49" t="n"/>
    </row>
    <row r="110">
      <c r="A110" s="49" t="n"/>
      <c r="B110" s="49" t="n"/>
      <c r="C110" s="49" t="n"/>
      <c r="D110" s="49" t="n"/>
    </row>
    <row r="111">
      <c r="A111" s="49" t="n"/>
      <c r="B111" s="49" t="n"/>
      <c r="C111" s="49" t="n"/>
      <c r="D111" s="49" t="n"/>
    </row>
    <row r="112">
      <c r="A112" s="49" t="n"/>
      <c r="B112" s="49" t="n"/>
      <c r="C112" s="49" t="n"/>
      <c r="D112" s="49" t="n"/>
    </row>
    <row r="113">
      <c r="A113" s="49" t="n"/>
      <c r="B113" s="49" t="n"/>
      <c r="C113" s="49" t="n"/>
      <c r="D113" s="49" t="n"/>
    </row>
    <row r="114">
      <c r="A114" s="49" t="n"/>
      <c r="B114" s="49" t="n"/>
      <c r="C114" s="49" t="n"/>
      <c r="D114" s="49" t="n"/>
    </row>
    <row r="115">
      <c r="A115" s="49" t="n"/>
      <c r="B115" s="49" t="n"/>
      <c r="C115" s="49" t="n"/>
      <c r="D115" s="49" t="n"/>
    </row>
    <row r="116">
      <c r="A116" s="49" t="n"/>
      <c r="B116" s="49" t="n"/>
      <c r="C116" s="49" t="n"/>
      <c r="D116" s="49" t="n"/>
    </row>
    <row r="117">
      <c r="A117" s="49" t="n"/>
      <c r="B117" s="49" t="n"/>
      <c r="C117" s="49" t="n"/>
      <c r="D117" s="49" t="n"/>
    </row>
    <row r="118">
      <c r="A118" s="49" t="n"/>
      <c r="B118" s="49" t="n"/>
      <c r="C118" s="49" t="n"/>
      <c r="D118" s="49" t="n"/>
    </row>
    <row r="119">
      <c r="A119" s="49" t="n"/>
      <c r="B119" s="49" t="n"/>
      <c r="C119" s="49" t="n"/>
      <c r="D119" s="49" t="n"/>
    </row>
    <row r="120">
      <c r="A120" s="49" t="n"/>
      <c r="B120" s="49" t="n"/>
      <c r="C120" s="49" t="n"/>
      <c r="D120" s="49" t="n"/>
    </row>
    <row r="121">
      <c r="A121" s="49" t="n"/>
      <c r="B121" s="49" t="n"/>
      <c r="C121" s="49" t="n"/>
      <c r="D121" s="49" t="n"/>
    </row>
    <row r="122">
      <c r="A122" s="49" t="n"/>
      <c r="B122" s="49" t="n"/>
      <c r="C122" s="49" t="n"/>
      <c r="D122" s="49" t="n"/>
    </row>
    <row r="123">
      <c r="A123" s="49" t="n"/>
      <c r="B123" s="49" t="n"/>
      <c r="C123" s="49" t="n"/>
      <c r="D123" s="49" t="n"/>
    </row>
    <row r="124">
      <c r="A124" s="49" t="n"/>
      <c r="B124" s="49" t="n"/>
      <c r="C124" s="49" t="n"/>
      <c r="D124" s="49" t="n"/>
    </row>
    <row r="125">
      <c r="A125" s="49" t="n"/>
      <c r="B125" s="49" t="n"/>
      <c r="C125" s="49" t="n"/>
      <c r="D125" s="49" t="n"/>
    </row>
    <row r="126">
      <c r="A126" s="49" t="n"/>
      <c r="B126" s="49" t="n"/>
      <c r="C126" s="49" t="n"/>
      <c r="D126" s="49" t="n"/>
    </row>
    <row r="127">
      <c r="A127" s="49" t="n"/>
      <c r="B127" s="49" t="n"/>
      <c r="C127" s="49" t="n"/>
      <c r="D127" s="49" t="n"/>
    </row>
    <row r="128">
      <c r="A128" s="49" t="n"/>
      <c r="B128" s="49" t="n"/>
      <c r="C128" s="49" t="n"/>
      <c r="D128" s="49" t="n"/>
    </row>
    <row r="129">
      <c r="A129" s="49" t="n"/>
      <c r="B129" s="49" t="n"/>
      <c r="C129" s="49" t="n"/>
      <c r="D129" s="49" t="n"/>
    </row>
    <row r="130">
      <c r="A130" s="49" t="n"/>
      <c r="B130" s="49" t="n"/>
      <c r="C130" s="49" t="n"/>
      <c r="D130" s="49" t="n"/>
    </row>
    <row r="131">
      <c r="A131" s="49" t="n"/>
      <c r="B131" s="49" t="n"/>
      <c r="C131" s="49" t="n"/>
      <c r="D131" s="49" t="n"/>
    </row>
    <row r="132">
      <c r="A132" s="49" t="n"/>
      <c r="B132" s="49" t="n"/>
      <c r="C132" s="49" t="n"/>
      <c r="D132" s="49" t="n"/>
    </row>
    <row r="133">
      <c r="A133" s="49" t="n"/>
      <c r="B133" s="49" t="n"/>
      <c r="C133" s="49" t="n"/>
      <c r="D133" s="49" t="n"/>
    </row>
    <row r="134">
      <c r="A134" s="49" t="n"/>
      <c r="B134" s="49" t="n"/>
      <c r="C134" s="49" t="n"/>
      <c r="D134" s="49" t="n"/>
    </row>
    <row r="135">
      <c r="A135" s="49" t="n"/>
      <c r="B135" s="49" t="n"/>
      <c r="C135" s="49" t="n"/>
      <c r="D135" s="49" t="n"/>
    </row>
    <row r="136">
      <c r="A136" s="49" t="n"/>
      <c r="B136" s="49" t="n"/>
      <c r="C136" s="49" t="n"/>
      <c r="D136" s="49" t="n"/>
    </row>
    <row r="137">
      <c r="A137" s="49" t="n"/>
      <c r="B137" s="49" t="n"/>
      <c r="C137" s="49" t="n"/>
      <c r="D137" s="49" t="n"/>
    </row>
    <row r="138">
      <c r="A138" s="49" t="n"/>
      <c r="B138" s="49" t="n"/>
      <c r="C138" s="49" t="n"/>
      <c r="D138" s="49" t="n"/>
    </row>
    <row r="139">
      <c r="A139" s="49" t="n"/>
      <c r="B139" s="49" t="n"/>
      <c r="C139" s="49" t="n"/>
      <c r="D139" s="49" t="n"/>
    </row>
    <row r="140">
      <c r="A140" s="49" t="n"/>
      <c r="B140" s="49" t="n"/>
      <c r="C140" s="49" t="n"/>
      <c r="D140" s="49" t="n"/>
    </row>
    <row r="141">
      <c r="A141" s="49" t="n"/>
      <c r="B141" s="49" t="n"/>
      <c r="C141" s="49" t="n"/>
      <c r="D141" s="49" t="n"/>
    </row>
    <row r="142">
      <c r="A142" s="49" t="n"/>
      <c r="B142" s="49" t="n"/>
      <c r="C142" s="49" t="n"/>
      <c r="D142" s="49" t="n"/>
    </row>
    <row r="143">
      <c r="A143" s="49" t="n"/>
      <c r="B143" s="49" t="n"/>
      <c r="C143" s="49" t="n"/>
      <c r="D143" s="49" t="n"/>
    </row>
    <row r="144">
      <c r="A144" s="49" t="n"/>
      <c r="B144" s="49" t="n"/>
      <c r="C144" s="49" t="n"/>
      <c r="D144" s="49" t="n"/>
    </row>
    <row r="145">
      <c r="A145" s="49" t="n"/>
      <c r="B145" s="49" t="n"/>
      <c r="C145" s="49" t="n"/>
      <c r="D145" s="49" t="n"/>
    </row>
    <row r="146">
      <c r="A146" s="49" t="n"/>
      <c r="B146" s="49" t="n"/>
      <c r="C146" s="49" t="n"/>
      <c r="D146" s="49" t="n"/>
    </row>
    <row r="147">
      <c r="A147" s="49" t="n"/>
      <c r="B147" s="49" t="n"/>
      <c r="C147" s="49" t="n"/>
      <c r="D147" s="49" t="n"/>
    </row>
    <row r="148">
      <c r="A148" s="49" t="n"/>
      <c r="B148" s="49" t="n"/>
      <c r="C148" s="49" t="n"/>
      <c r="D148" s="49" t="n"/>
    </row>
    <row r="149">
      <c r="A149" s="49" t="n"/>
      <c r="B149" s="49" t="n"/>
      <c r="C149" s="49" t="n"/>
      <c r="D149" s="49" t="n"/>
    </row>
    <row r="150">
      <c r="A150" s="49" t="n"/>
      <c r="B150" s="49" t="n"/>
      <c r="C150" s="49" t="n"/>
      <c r="D150" s="49" t="n"/>
    </row>
    <row r="151">
      <c r="A151" s="49" t="n"/>
      <c r="B151" s="49" t="n"/>
      <c r="C151" s="49" t="n"/>
      <c r="D151" s="49" t="n"/>
    </row>
    <row r="152">
      <c r="A152" s="49" t="n"/>
      <c r="B152" s="49" t="n"/>
      <c r="C152" s="49" t="n"/>
      <c r="D152" s="49" t="n"/>
    </row>
    <row r="153">
      <c r="A153" s="49" t="n"/>
      <c r="B153" s="49" t="n"/>
      <c r="C153" s="49" t="n"/>
      <c r="D153" s="49" t="n"/>
    </row>
    <row r="154">
      <c r="A154" s="49" t="n"/>
      <c r="B154" s="49" t="n"/>
      <c r="C154" s="49" t="n"/>
      <c r="D154" s="49" t="n"/>
    </row>
    <row r="155">
      <c r="A155" s="49" t="n"/>
      <c r="B155" s="49" t="n"/>
      <c r="C155" s="49" t="n"/>
      <c r="D155" s="49" t="n"/>
    </row>
    <row r="156">
      <c r="A156" s="49" t="n"/>
      <c r="B156" s="49" t="n"/>
      <c r="C156" s="49" t="n"/>
      <c r="D156" s="49" t="n"/>
    </row>
    <row r="157">
      <c r="A157" s="49" t="n"/>
      <c r="B157" s="49" t="n"/>
      <c r="C157" s="49" t="n"/>
      <c r="D157" s="49" t="n"/>
    </row>
    <row r="158">
      <c r="A158" s="49" t="n"/>
      <c r="B158" s="49" t="n"/>
      <c r="C158" s="49" t="n"/>
      <c r="D158" s="49" t="n"/>
    </row>
    <row r="159">
      <c r="A159" s="49" t="n"/>
      <c r="B159" s="49" t="n"/>
      <c r="C159" s="49" t="n"/>
      <c r="D159" s="49" t="n"/>
    </row>
    <row r="160">
      <c r="A160" s="49" t="n"/>
      <c r="B160" s="49" t="n"/>
      <c r="C160" s="49" t="n"/>
      <c r="D160" s="49" t="n"/>
    </row>
    <row r="161">
      <c r="A161" s="49" t="n"/>
      <c r="B161" s="49" t="n"/>
      <c r="C161" s="49" t="n"/>
      <c r="D161" s="49" t="n"/>
    </row>
    <row r="162">
      <c r="A162" s="49" t="n"/>
      <c r="B162" s="49" t="n"/>
      <c r="C162" s="49" t="n"/>
      <c r="D162" s="49" t="n"/>
    </row>
    <row r="163">
      <c r="A163" s="49" t="n"/>
      <c r="B163" s="49" t="n"/>
      <c r="C163" s="49" t="n"/>
      <c r="D163" s="49" t="n"/>
    </row>
    <row r="164">
      <c r="A164" s="49" t="n"/>
      <c r="B164" s="49" t="n"/>
      <c r="C164" s="49" t="n"/>
      <c r="D164" s="49" t="n"/>
    </row>
    <row r="165">
      <c r="A165" s="49" t="n"/>
      <c r="B165" s="49" t="n"/>
      <c r="C165" s="49" t="n"/>
      <c r="D165" s="49" t="n"/>
    </row>
    <row r="166">
      <c r="A166" s="49" t="n"/>
      <c r="B166" s="49" t="n"/>
      <c r="C166" s="49" t="n"/>
      <c r="D166" s="49" t="n"/>
    </row>
    <row r="167">
      <c r="A167" s="49" t="n"/>
      <c r="B167" s="49" t="n"/>
      <c r="C167" s="49" t="n"/>
      <c r="D167" s="49" t="n"/>
    </row>
    <row r="168">
      <c r="A168" s="49" t="n"/>
      <c r="B168" s="49" t="n"/>
      <c r="C168" s="49" t="n"/>
      <c r="D168" s="49" t="n"/>
    </row>
    <row r="169">
      <c r="A169" s="49" t="n"/>
      <c r="B169" s="49" t="n"/>
      <c r="C169" s="49" t="n"/>
      <c r="D169" s="49" t="n"/>
    </row>
    <row r="170">
      <c r="A170" s="49" t="n"/>
      <c r="B170" s="49" t="n"/>
      <c r="C170" s="49" t="n"/>
      <c r="D170" s="49" t="n"/>
    </row>
    <row r="171">
      <c r="A171" s="49" t="n"/>
      <c r="B171" s="49" t="n"/>
      <c r="C171" s="49" t="n"/>
      <c r="D171" s="49" t="n"/>
    </row>
    <row r="172">
      <c r="A172" s="49" t="n"/>
      <c r="B172" s="49" t="n"/>
      <c r="C172" s="49" t="n"/>
      <c r="D172" s="49" t="n"/>
    </row>
    <row r="173">
      <c r="A173" s="49" t="n"/>
      <c r="B173" s="49" t="n"/>
      <c r="C173" s="49" t="n"/>
      <c r="D173" s="49" t="n"/>
    </row>
    <row r="174">
      <c r="A174" s="49" t="n"/>
      <c r="B174" s="49" t="n"/>
      <c r="C174" s="49" t="n"/>
      <c r="D174" s="49" t="n"/>
    </row>
    <row r="175">
      <c r="A175" s="49" t="n"/>
      <c r="B175" s="49" t="n"/>
      <c r="C175" s="49" t="n"/>
      <c r="D175" s="49" t="n"/>
    </row>
    <row r="176">
      <c r="A176" s="49" t="n"/>
      <c r="B176" s="49" t="n"/>
      <c r="C176" s="49" t="n"/>
      <c r="D176" s="49" t="n"/>
    </row>
    <row r="177">
      <c r="A177" s="49" t="n"/>
      <c r="B177" s="49" t="n"/>
      <c r="C177" s="49" t="n"/>
      <c r="D177" s="49" t="n"/>
    </row>
    <row r="178">
      <c r="A178" s="49" t="n"/>
      <c r="B178" s="49" t="n"/>
      <c r="C178" s="49" t="n"/>
      <c r="D178" s="49" t="n"/>
    </row>
    <row r="179">
      <c r="A179" s="49" t="n"/>
      <c r="B179" s="49" t="n"/>
      <c r="C179" s="49" t="n"/>
      <c r="D179" s="49" t="n"/>
    </row>
    <row r="180">
      <c r="A180" s="49" t="n"/>
      <c r="B180" s="49" t="n"/>
      <c r="C180" s="49" t="n"/>
      <c r="D180" s="49" t="n"/>
    </row>
    <row r="181">
      <c r="A181" s="49" t="n"/>
      <c r="B181" s="49" t="n"/>
      <c r="C181" s="49" t="n"/>
      <c r="D181" s="49" t="n"/>
    </row>
    <row r="182">
      <c r="A182" s="49" t="n"/>
      <c r="B182" s="49" t="n"/>
      <c r="C182" s="49" t="n"/>
      <c r="D182" s="49" t="n"/>
    </row>
    <row r="183">
      <c r="A183" s="49" t="n"/>
      <c r="B183" s="49" t="n"/>
      <c r="C183" s="49" t="n"/>
      <c r="D183" s="49" t="n"/>
    </row>
    <row r="184">
      <c r="A184" s="49" t="n"/>
      <c r="B184" s="49" t="n"/>
      <c r="C184" s="49" t="n"/>
      <c r="D184" s="49" t="n"/>
    </row>
    <row r="185">
      <c r="A185" s="49" t="n"/>
      <c r="B185" s="49" t="n"/>
      <c r="C185" s="49" t="n"/>
      <c r="D185" s="49" t="n"/>
    </row>
    <row r="186">
      <c r="A186" s="49" t="n"/>
      <c r="B186" s="49" t="n"/>
      <c r="C186" s="49" t="n"/>
      <c r="D186" s="49" t="n"/>
    </row>
    <row r="187">
      <c r="A187" s="49" t="n"/>
      <c r="B187" s="49" t="n"/>
      <c r="C187" s="49" t="n"/>
      <c r="D187" s="49" t="n"/>
    </row>
    <row r="188">
      <c r="A188" s="49" t="n"/>
      <c r="B188" s="49" t="n"/>
      <c r="C188" s="49" t="n"/>
      <c r="D188" s="49" t="n"/>
    </row>
    <row r="189">
      <c r="A189" s="49" t="n"/>
      <c r="B189" s="49" t="n"/>
      <c r="C189" s="49" t="n"/>
      <c r="D189" s="49" t="n"/>
    </row>
    <row r="190">
      <c r="A190" s="49" t="n"/>
      <c r="B190" s="49" t="n"/>
      <c r="C190" s="49" t="n"/>
      <c r="D190" s="49" t="n"/>
    </row>
    <row r="191">
      <c r="A191" s="49" t="n"/>
      <c r="B191" s="49" t="n"/>
      <c r="C191" s="49" t="n"/>
      <c r="D191" s="49" t="n"/>
    </row>
    <row r="192">
      <c r="A192" s="49" t="n"/>
      <c r="B192" s="49" t="n"/>
      <c r="C192" s="49" t="n"/>
      <c r="D192" s="49" t="n"/>
    </row>
    <row r="193">
      <c r="A193" s="49" t="n"/>
      <c r="B193" s="49" t="n"/>
      <c r="C193" s="49" t="n"/>
      <c r="D193" s="49" t="n"/>
    </row>
    <row r="194">
      <c r="A194" s="49" t="n"/>
      <c r="B194" s="49" t="n"/>
      <c r="C194" s="49" t="n"/>
      <c r="D194" s="49" t="n"/>
    </row>
    <row r="195">
      <c r="A195" s="49" t="n"/>
      <c r="B195" s="49" t="n"/>
      <c r="C195" s="49" t="n"/>
      <c r="D195" s="49" t="n"/>
    </row>
    <row r="196">
      <c r="A196" s="49" t="n"/>
      <c r="B196" s="49" t="n"/>
      <c r="C196" s="49" t="n"/>
      <c r="D196" s="49" t="n"/>
    </row>
    <row r="197">
      <c r="A197" s="49" t="n"/>
      <c r="B197" s="49" t="n"/>
      <c r="C197" s="49" t="n"/>
      <c r="D197" s="49" t="n"/>
    </row>
    <row r="198">
      <c r="A198" s="49" t="n"/>
      <c r="B198" s="49" t="n"/>
      <c r="C198" s="49" t="n"/>
      <c r="D198" s="49" t="n"/>
    </row>
    <row r="199">
      <c r="A199" s="49" t="n"/>
      <c r="B199" s="49" t="n"/>
      <c r="C199" s="49" t="n"/>
      <c r="D199" s="49" t="n"/>
    </row>
    <row r="200">
      <c r="A200" s="49" t="n"/>
      <c r="B200" s="49" t="n"/>
      <c r="C200" s="49" t="n"/>
      <c r="D200" s="49" t="n"/>
    </row>
    <row r="201">
      <c r="A201" s="49" t="n"/>
      <c r="B201" s="49" t="n"/>
      <c r="C201" s="49" t="n"/>
      <c r="D201" s="49" t="n"/>
    </row>
    <row r="202">
      <c r="A202" s="49" t="n"/>
      <c r="B202" s="49" t="n"/>
      <c r="C202" s="49" t="n"/>
      <c r="D202" s="49" t="n"/>
    </row>
    <row r="203">
      <c r="A203" s="49" t="n"/>
      <c r="B203" s="49" t="n"/>
      <c r="C203" s="49" t="n"/>
      <c r="D203" s="49" t="n"/>
    </row>
    <row r="204">
      <c r="A204" s="49" t="n"/>
      <c r="B204" s="49" t="n"/>
      <c r="C204" s="49" t="n"/>
      <c r="D204" s="49" t="n"/>
    </row>
    <row r="205">
      <c r="A205" s="49" t="n"/>
      <c r="B205" s="49" t="n"/>
      <c r="C205" s="49" t="n"/>
      <c r="D205" s="49" t="n"/>
    </row>
    <row r="206">
      <c r="A206" s="49" t="n"/>
      <c r="B206" s="49" t="n"/>
      <c r="C206" s="49" t="n"/>
      <c r="D206" s="49" t="n"/>
    </row>
    <row r="207">
      <c r="A207" s="49" t="n"/>
      <c r="B207" s="49" t="n"/>
      <c r="C207" s="49" t="n"/>
      <c r="D207" s="49" t="n"/>
    </row>
    <row r="208">
      <c r="A208" s="49" t="n"/>
      <c r="B208" s="49" t="n"/>
      <c r="C208" s="49" t="n"/>
      <c r="D208" s="49" t="n"/>
    </row>
    <row r="209">
      <c r="A209" s="49" t="n"/>
      <c r="B209" s="49" t="n"/>
      <c r="C209" s="49" t="n"/>
      <c r="D209" s="49" t="n"/>
    </row>
    <row r="210">
      <c r="A210" s="49" t="n"/>
      <c r="B210" s="49" t="n"/>
      <c r="C210" s="49" t="n"/>
      <c r="D210" s="49" t="n"/>
    </row>
    <row r="211">
      <c r="A211" s="49" t="n"/>
      <c r="B211" s="49" t="n"/>
      <c r="C211" s="49" t="n"/>
      <c r="D211" s="49" t="n"/>
    </row>
    <row r="212">
      <c r="A212" s="49" t="n"/>
      <c r="B212" s="49" t="n"/>
      <c r="C212" s="49" t="n"/>
      <c r="D212" s="49" t="n"/>
    </row>
    <row r="213">
      <c r="A213" s="49" t="n"/>
      <c r="B213" s="49" t="n"/>
      <c r="C213" s="49" t="n"/>
      <c r="D213" s="49" t="n"/>
    </row>
    <row r="214">
      <c r="A214" s="49" t="n"/>
      <c r="B214" s="49" t="n"/>
      <c r="C214" s="49" t="n"/>
      <c r="D214" s="49" t="n"/>
    </row>
    <row r="215">
      <c r="A215" s="49" t="n"/>
      <c r="B215" s="49" t="n"/>
      <c r="C215" s="49" t="n"/>
      <c r="D215" s="49" t="n"/>
    </row>
    <row r="216">
      <c r="A216" s="49" t="n"/>
      <c r="B216" s="49" t="n"/>
      <c r="C216" s="49" t="n"/>
      <c r="D216" s="49" t="n"/>
    </row>
    <row r="217">
      <c r="A217" s="49" t="n"/>
      <c r="B217" s="49" t="n"/>
      <c r="C217" s="49" t="n"/>
      <c r="D217" s="49" t="n"/>
    </row>
    <row r="218">
      <c r="A218" s="49" t="n"/>
      <c r="B218" s="49" t="n"/>
      <c r="C218" s="49" t="n"/>
      <c r="D218" s="49" t="n"/>
    </row>
    <row r="219">
      <c r="A219" s="49" t="n"/>
      <c r="B219" s="49" t="n"/>
      <c r="C219" s="49" t="n"/>
      <c r="D219" s="49" t="n"/>
    </row>
    <row r="220">
      <c r="A220" s="49" t="n"/>
      <c r="B220" s="49" t="n"/>
      <c r="C220" s="49" t="n"/>
      <c r="D220" s="49" t="n"/>
    </row>
    <row r="221">
      <c r="A221" s="49" t="n"/>
      <c r="B221" s="49" t="n"/>
      <c r="C221" s="49" t="n"/>
      <c r="D221" s="49" t="n"/>
    </row>
    <row r="222">
      <c r="A222" s="49" t="n"/>
      <c r="B222" s="49" t="n"/>
      <c r="C222" s="49" t="n"/>
      <c r="D222" s="49" t="n"/>
    </row>
    <row r="223">
      <c r="A223" s="49" t="n"/>
      <c r="B223" s="49" t="n"/>
      <c r="C223" s="49" t="n"/>
      <c r="D223" s="49" t="n"/>
    </row>
    <row r="224">
      <c r="A224" s="49" t="n"/>
      <c r="B224" s="49" t="n"/>
      <c r="C224" s="49" t="n"/>
      <c r="D224" s="49" t="n"/>
    </row>
    <row r="225">
      <c r="A225" s="49" t="n"/>
      <c r="B225" s="49" t="n"/>
      <c r="C225" s="49" t="n"/>
      <c r="D225" s="49" t="n"/>
    </row>
    <row r="226">
      <c r="A226" s="49" t="n"/>
      <c r="B226" s="49" t="n"/>
      <c r="C226" s="49" t="n"/>
      <c r="D226" s="49" t="n"/>
    </row>
    <row r="227">
      <c r="A227" s="49" t="n"/>
      <c r="B227" s="49" t="n"/>
      <c r="C227" s="49" t="n"/>
      <c r="D227" s="49" t="n"/>
    </row>
    <row r="228">
      <c r="A228" s="49" t="n"/>
      <c r="B228" s="49" t="n"/>
      <c r="C228" s="49" t="n"/>
      <c r="D228" s="49" t="n"/>
    </row>
    <row r="229">
      <c r="A229" s="49" t="n"/>
      <c r="B229" s="49" t="n"/>
      <c r="C229" s="49" t="n"/>
      <c r="D229" s="49" t="n"/>
    </row>
    <row r="230">
      <c r="A230" s="49" t="n"/>
      <c r="B230" s="49" t="n"/>
      <c r="C230" s="49" t="n"/>
      <c r="D230" s="49" t="n"/>
    </row>
    <row r="231">
      <c r="A231" s="49" t="n"/>
      <c r="B231" s="49" t="n"/>
      <c r="C231" s="49" t="n"/>
      <c r="D231" s="49" t="n"/>
    </row>
    <row r="232">
      <c r="A232" s="49" t="n"/>
      <c r="B232" s="49" t="n"/>
      <c r="C232" s="49" t="n"/>
      <c r="D232" s="49" t="n"/>
    </row>
    <row r="233">
      <c r="A233" s="49" t="n"/>
      <c r="B233" s="49" t="n"/>
      <c r="C233" s="49" t="n"/>
      <c r="D233" s="49" t="n"/>
    </row>
    <row r="234">
      <c r="A234" s="49" t="n"/>
      <c r="B234" s="49" t="n"/>
      <c r="C234" s="49" t="n"/>
      <c r="D234" s="49" t="n"/>
    </row>
    <row r="235">
      <c r="A235" s="49" t="n"/>
      <c r="B235" s="49" t="n"/>
      <c r="C235" s="49" t="n"/>
      <c r="D235" s="49" t="n"/>
    </row>
    <row r="236">
      <c r="A236" s="49" t="n"/>
      <c r="B236" s="49" t="n"/>
      <c r="C236" s="49" t="n"/>
      <c r="D236" s="49" t="n"/>
    </row>
    <row r="237">
      <c r="A237" s="49" t="n"/>
      <c r="B237" s="49" t="n"/>
      <c r="C237" s="49" t="n"/>
      <c r="D237" s="49" t="n"/>
    </row>
    <row r="238">
      <c r="A238" s="49" t="n"/>
      <c r="B238" s="49" t="n"/>
      <c r="C238" s="49" t="n"/>
      <c r="D238" s="49" t="n"/>
    </row>
    <row r="239">
      <c r="A239" s="49" t="n"/>
      <c r="B239" s="49" t="n"/>
      <c r="C239" s="49" t="n"/>
      <c r="D239" s="49" t="n"/>
    </row>
    <row r="240">
      <c r="A240" s="49" t="n"/>
      <c r="B240" s="49" t="n"/>
      <c r="C240" s="49" t="n"/>
      <c r="D240" s="49" t="n"/>
    </row>
    <row r="241">
      <c r="A241" s="49" t="n"/>
      <c r="B241" s="49" t="n"/>
      <c r="C241" s="49" t="n"/>
      <c r="D241" s="49" t="n"/>
    </row>
    <row r="242">
      <c r="A242" s="49" t="n"/>
      <c r="B242" s="49" t="n"/>
      <c r="C242" s="49" t="n"/>
      <c r="D242" s="49" t="n"/>
    </row>
    <row r="243">
      <c r="A243" s="49" t="n"/>
      <c r="B243" s="49" t="n"/>
      <c r="C243" s="49" t="n"/>
      <c r="D243" s="49" t="n"/>
    </row>
    <row r="244">
      <c r="A244" s="49" t="n"/>
      <c r="B244" s="49" t="n"/>
      <c r="C244" s="49" t="n"/>
      <c r="D244" s="49" t="n"/>
    </row>
    <row r="245">
      <c r="A245" s="49" t="n"/>
      <c r="B245" s="49" t="n"/>
      <c r="C245" s="49" t="n"/>
      <c r="D245" s="49" t="n"/>
    </row>
    <row r="246">
      <c r="A246" s="49" t="n"/>
      <c r="B246" s="49" t="n"/>
      <c r="C246" s="49" t="n"/>
      <c r="D246" s="49" t="n"/>
    </row>
    <row r="247">
      <c r="A247" s="49" t="n"/>
      <c r="B247" s="49" t="n"/>
      <c r="C247" s="49" t="n"/>
      <c r="D247" s="49" t="n"/>
    </row>
    <row r="248">
      <c r="A248" s="49" t="n"/>
      <c r="B248" s="49" t="n"/>
      <c r="C248" s="49" t="n"/>
      <c r="D248" s="49" t="n"/>
    </row>
    <row r="249">
      <c r="A249" s="49" t="n"/>
      <c r="B249" s="49" t="n"/>
      <c r="C249" s="49" t="n"/>
      <c r="D249" s="49" t="n"/>
    </row>
    <row r="250">
      <c r="A250" s="49" t="n"/>
      <c r="B250" s="49" t="n"/>
      <c r="C250" s="49" t="n"/>
      <c r="D250" s="49" t="n"/>
    </row>
    <row r="251">
      <c r="A251" s="49" t="n"/>
      <c r="B251" s="49" t="n"/>
      <c r="C251" s="49" t="n"/>
      <c r="D251" s="49" t="n"/>
    </row>
    <row r="252">
      <c r="A252" s="49" t="n"/>
      <c r="B252" s="49" t="n"/>
      <c r="C252" s="49" t="n"/>
      <c r="D252" s="49" t="n"/>
    </row>
    <row r="253">
      <c r="A253" s="49" t="n"/>
      <c r="B253" s="49" t="n"/>
      <c r="C253" s="49" t="n"/>
      <c r="D253" s="49" t="n"/>
    </row>
    <row r="254">
      <c r="A254" s="49" t="n"/>
      <c r="B254" s="49" t="n"/>
      <c r="C254" s="49" t="n"/>
      <c r="D254" s="49" t="n"/>
    </row>
    <row r="255">
      <c r="A255" s="49" t="n"/>
      <c r="B255" s="49" t="n"/>
      <c r="C255" s="49" t="n"/>
      <c r="D255" s="49" t="n"/>
    </row>
    <row r="256">
      <c r="A256" s="49" t="n"/>
      <c r="B256" s="49" t="n"/>
      <c r="C256" s="49" t="n"/>
      <c r="D256" s="49" t="n"/>
    </row>
    <row r="257">
      <c r="A257" s="49" t="n"/>
      <c r="B257" s="49" t="n"/>
      <c r="C257" s="49" t="n"/>
      <c r="D257" s="49" t="n"/>
    </row>
    <row r="258">
      <c r="A258" s="49" t="n"/>
      <c r="B258" s="49" t="n"/>
      <c r="C258" s="49" t="n"/>
      <c r="D258" s="49" t="n"/>
    </row>
    <row r="259">
      <c r="A259" s="49" t="n"/>
      <c r="B259" s="49" t="n"/>
      <c r="C259" s="49" t="n"/>
      <c r="D259" s="49" t="n"/>
    </row>
    <row r="260">
      <c r="A260" s="49" t="n"/>
      <c r="B260" s="49" t="n"/>
      <c r="C260" s="49" t="n"/>
      <c r="D260" s="49" t="n"/>
    </row>
    <row r="261">
      <c r="A261" s="49" t="n"/>
      <c r="B261" s="49" t="n"/>
      <c r="C261" s="49" t="n"/>
      <c r="D261" s="49" t="n"/>
    </row>
    <row r="262">
      <c r="A262" s="49" t="n"/>
      <c r="B262" s="49" t="n"/>
      <c r="C262" s="49" t="n"/>
      <c r="D262" s="49" t="n"/>
    </row>
    <row r="263">
      <c r="A263" s="49" t="n"/>
      <c r="B263" s="49" t="n"/>
      <c r="C263" s="49" t="n"/>
      <c r="D263" s="49" t="n"/>
    </row>
    <row r="264">
      <c r="A264" s="49" t="n"/>
      <c r="B264" s="49" t="n"/>
      <c r="C264" s="49" t="n"/>
      <c r="D264" s="49" t="n"/>
    </row>
    <row r="265">
      <c r="A265" s="49" t="n"/>
      <c r="B265" s="49" t="n"/>
      <c r="C265" s="49" t="n"/>
      <c r="D265" s="49" t="n"/>
    </row>
    <row r="266">
      <c r="A266" s="49" t="n"/>
      <c r="B266" s="49" t="n"/>
      <c r="C266" s="49" t="n"/>
      <c r="D266" s="49" t="n"/>
    </row>
    <row r="267">
      <c r="A267" s="49" t="n"/>
      <c r="B267" s="49" t="n"/>
      <c r="C267" s="49" t="n"/>
      <c r="D267" s="49" t="n"/>
    </row>
    <row r="268">
      <c r="A268" s="49" t="n"/>
      <c r="B268" s="49" t="n"/>
      <c r="C268" s="49" t="n"/>
      <c r="D268" s="49" t="n"/>
    </row>
    <row r="269">
      <c r="A269" s="49" t="n"/>
      <c r="B269" s="49" t="n"/>
      <c r="C269" s="49" t="n"/>
      <c r="D269" s="49" t="n"/>
    </row>
    <row r="270">
      <c r="A270" s="49" t="n"/>
      <c r="B270" s="49" t="n"/>
      <c r="C270" s="49" t="n"/>
      <c r="D270" s="49" t="n"/>
    </row>
    <row r="271">
      <c r="A271" s="49" t="n"/>
      <c r="B271" s="49" t="n"/>
      <c r="C271" s="49" t="n"/>
      <c r="D271" s="49" t="n"/>
    </row>
    <row r="272">
      <c r="A272" s="49" t="n"/>
      <c r="B272" s="49" t="n"/>
      <c r="C272" s="49" t="n"/>
      <c r="D272" s="49" t="n"/>
    </row>
    <row r="273">
      <c r="A273" s="49" t="n"/>
      <c r="B273" s="49" t="n"/>
      <c r="C273" s="49" t="n"/>
      <c r="D273" s="49" t="n"/>
    </row>
    <row r="274">
      <c r="A274" s="49" t="n"/>
      <c r="B274" s="49" t="n"/>
      <c r="C274" s="49" t="n"/>
      <c r="D274" s="49" t="n"/>
    </row>
    <row r="275">
      <c r="A275" s="49" t="n"/>
      <c r="B275" s="49" t="n"/>
      <c r="C275" s="49" t="n"/>
      <c r="D275" s="49" t="n"/>
    </row>
    <row r="276">
      <c r="A276" s="49" t="n"/>
      <c r="B276" s="49" t="n"/>
      <c r="C276" s="49" t="n"/>
      <c r="D276" s="49" t="n"/>
    </row>
    <row r="277">
      <c r="A277" s="49" t="n"/>
      <c r="B277" s="49" t="n"/>
      <c r="C277" s="49" t="n"/>
      <c r="D277" s="49" t="n"/>
    </row>
    <row r="278">
      <c r="A278" s="49" t="n"/>
      <c r="B278" s="49" t="n"/>
      <c r="C278" s="49" t="n"/>
      <c r="D278" s="49" t="n"/>
    </row>
    <row r="279">
      <c r="A279" s="49" t="n"/>
      <c r="B279" s="49" t="n"/>
      <c r="C279" s="49" t="n"/>
      <c r="D279" s="49" t="n"/>
    </row>
    <row r="280">
      <c r="A280" s="49" t="n"/>
      <c r="B280" s="49" t="n"/>
      <c r="C280" s="49" t="n"/>
      <c r="D280" s="49" t="n"/>
    </row>
    <row r="281">
      <c r="A281" s="49" t="n"/>
      <c r="B281" s="49" t="n"/>
      <c r="C281" s="49" t="n"/>
      <c r="D281" s="49" t="n"/>
    </row>
    <row r="282">
      <c r="A282" s="49" t="n"/>
      <c r="B282" s="49" t="n"/>
      <c r="C282" s="49" t="n"/>
      <c r="D282" s="49" t="n"/>
    </row>
    <row r="283">
      <c r="A283" s="49" t="n"/>
      <c r="B283" s="49" t="n"/>
      <c r="C283" s="49" t="n"/>
      <c r="D283" s="49" t="n"/>
    </row>
    <row r="284">
      <c r="A284" s="49" t="n"/>
      <c r="B284" s="49" t="n"/>
      <c r="C284" s="49" t="n"/>
      <c r="D284" s="49" t="n"/>
    </row>
    <row r="285">
      <c r="A285" s="49" t="n"/>
      <c r="B285" s="49" t="n"/>
      <c r="C285" s="49" t="n"/>
      <c r="D285" s="49" t="n"/>
    </row>
    <row r="286">
      <c r="A286" s="49" t="n"/>
      <c r="B286" s="49" t="n"/>
      <c r="C286" s="49" t="n"/>
      <c r="D286" s="49" t="n"/>
    </row>
    <row r="287">
      <c r="A287" s="49" t="n"/>
      <c r="B287" s="49" t="n"/>
      <c r="C287" s="49" t="n"/>
      <c r="D287" s="49" t="n"/>
    </row>
    <row r="288">
      <c r="A288" s="49" t="n"/>
      <c r="B288" s="49" t="n"/>
      <c r="C288" s="49" t="n"/>
      <c r="D288" s="49" t="n"/>
    </row>
    <row r="289">
      <c r="A289" s="49" t="n"/>
      <c r="B289" s="49" t="n"/>
      <c r="C289" s="49" t="n"/>
      <c r="D289" s="49" t="n"/>
    </row>
    <row r="290">
      <c r="A290" s="49" t="n"/>
      <c r="B290" s="49" t="n"/>
      <c r="C290" s="49" t="n"/>
      <c r="D290" s="49" t="n"/>
    </row>
    <row r="291">
      <c r="A291" s="49" t="n"/>
      <c r="B291" s="49" t="n"/>
      <c r="C291" s="49" t="n"/>
      <c r="D291" s="49" t="n"/>
    </row>
    <row r="292">
      <c r="A292" s="49" t="n"/>
      <c r="B292" s="49" t="n"/>
      <c r="C292" s="49" t="n"/>
      <c r="D292" s="49" t="n"/>
    </row>
    <row r="293">
      <c r="A293" s="49" t="n"/>
      <c r="B293" s="49" t="n"/>
      <c r="C293" s="49" t="n"/>
      <c r="D293" s="49" t="n"/>
    </row>
    <row r="294">
      <c r="A294" s="49" t="n"/>
      <c r="B294" s="49" t="n"/>
      <c r="C294" s="49" t="n"/>
      <c r="D294" s="49" t="n"/>
    </row>
    <row r="295">
      <c r="A295" s="49" t="n"/>
      <c r="B295" s="49" t="n"/>
      <c r="C295" s="49" t="n"/>
      <c r="D295" s="49" t="n"/>
    </row>
    <row r="296">
      <c r="A296" s="49" t="n"/>
      <c r="B296" s="49" t="n"/>
      <c r="C296" s="49" t="n"/>
      <c r="D296" s="49" t="n"/>
    </row>
    <row r="297">
      <c r="A297" s="49" t="n"/>
      <c r="B297" s="49" t="n"/>
      <c r="C297" s="49" t="n"/>
      <c r="D297" s="49" t="n"/>
    </row>
    <row r="298">
      <c r="A298" s="49" t="n"/>
      <c r="B298" s="49" t="n"/>
      <c r="C298" s="49" t="n"/>
      <c r="D298" s="49" t="n"/>
    </row>
    <row r="299">
      <c r="A299" s="49" t="n"/>
      <c r="B299" s="49" t="n"/>
      <c r="C299" s="49" t="n"/>
      <c r="D299" s="49" t="n"/>
    </row>
    <row r="300">
      <c r="A300" s="49" t="n"/>
      <c r="B300" s="49" t="n"/>
      <c r="C300" s="49" t="n"/>
      <c r="D300" s="49" t="n"/>
    </row>
    <row r="301">
      <c r="A301" s="49" t="n"/>
      <c r="B301" s="49" t="n"/>
      <c r="C301" s="49" t="n"/>
      <c r="D301" s="49" t="n"/>
    </row>
    <row r="302">
      <c r="A302" s="49" t="n"/>
      <c r="B302" s="49" t="n"/>
      <c r="C302" s="49" t="n"/>
      <c r="D302" s="49" t="n"/>
    </row>
    <row r="303">
      <c r="A303" s="49" t="n"/>
      <c r="B303" s="49" t="n"/>
      <c r="C303" s="49" t="n"/>
      <c r="D303" s="49" t="n"/>
    </row>
    <row r="304">
      <c r="A304" s="49" t="n"/>
      <c r="B304" s="49" t="n"/>
      <c r="C304" s="49" t="n"/>
      <c r="D304" s="49" t="n"/>
    </row>
    <row r="305">
      <c r="A305" s="49" t="n"/>
      <c r="B305" s="49" t="n"/>
      <c r="C305" s="49" t="n"/>
      <c r="D305" s="49" t="n"/>
    </row>
    <row r="306">
      <c r="A306" s="49" t="n"/>
      <c r="B306" s="49" t="n"/>
      <c r="C306" s="49" t="n"/>
      <c r="D306" s="49" t="n"/>
    </row>
    <row r="307">
      <c r="A307" s="49" t="n"/>
      <c r="B307" s="49" t="n"/>
      <c r="C307" s="49" t="n"/>
      <c r="D307" s="49" t="n"/>
    </row>
    <row r="308">
      <c r="A308" s="49" t="n"/>
      <c r="B308" s="49" t="n"/>
      <c r="C308" s="49" t="n"/>
      <c r="D308" s="49" t="n"/>
    </row>
    <row r="309">
      <c r="A309" s="49" t="n"/>
      <c r="B309" s="49" t="n"/>
      <c r="C309" s="49" t="n"/>
      <c r="D309" s="49" t="n"/>
    </row>
    <row r="310">
      <c r="A310" s="49" t="n"/>
      <c r="B310" s="49" t="n"/>
      <c r="C310" s="49" t="n"/>
      <c r="D310" s="49" t="n"/>
    </row>
    <row r="311">
      <c r="A311" s="49" t="n"/>
      <c r="B311" s="49" t="n"/>
      <c r="C311" s="49" t="n"/>
      <c r="D311" s="49" t="n"/>
    </row>
    <row r="312">
      <c r="A312" s="49" t="n"/>
      <c r="B312" s="49" t="n"/>
      <c r="C312" s="49" t="n"/>
      <c r="D312" s="49" t="n"/>
    </row>
    <row r="313">
      <c r="A313" s="49" t="n"/>
      <c r="B313" s="49" t="n"/>
      <c r="C313" s="49" t="n"/>
      <c r="D313" s="49" t="n"/>
    </row>
    <row r="314">
      <c r="A314" s="49" t="n"/>
      <c r="B314" s="49" t="n"/>
      <c r="C314" s="49" t="n"/>
      <c r="D314" s="49" t="n"/>
    </row>
    <row r="315">
      <c r="A315" s="49" t="n"/>
      <c r="B315" s="49" t="n"/>
      <c r="C315" s="49" t="n"/>
      <c r="D315" s="49" t="n"/>
    </row>
    <row r="316">
      <c r="A316" s="49" t="n"/>
      <c r="B316" s="49" t="n"/>
      <c r="C316" s="49" t="n"/>
      <c r="D316" s="49" t="n"/>
    </row>
    <row r="317">
      <c r="A317" s="49" t="n"/>
      <c r="B317" s="49" t="n"/>
      <c r="C317" s="49" t="n"/>
      <c r="D317" s="49" t="n"/>
    </row>
    <row r="318">
      <c r="A318" s="49" t="n"/>
      <c r="B318" s="49" t="n"/>
      <c r="C318" s="49" t="n"/>
      <c r="D318" s="49" t="n"/>
    </row>
    <row r="319">
      <c r="A319" s="49" t="n"/>
      <c r="B319" s="49" t="n"/>
      <c r="C319" s="49" t="n"/>
      <c r="D319" s="49" t="n"/>
    </row>
    <row r="320">
      <c r="A320" s="49" t="n"/>
      <c r="B320" s="49" t="n"/>
      <c r="C320" s="49" t="n"/>
      <c r="D320" s="49" t="n"/>
    </row>
    <row r="321">
      <c r="A321" s="49" t="n"/>
      <c r="B321" s="49" t="n"/>
      <c r="C321" s="49" t="n"/>
      <c r="D321" s="49" t="n"/>
    </row>
    <row r="322">
      <c r="A322" s="49" t="n"/>
      <c r="B322" s="49" t="n"/>
      <c r="C322" s="49" t="n"/>
      <c r="D322" s="49" t="n"/>
    </row>
    <row r="323">
      <c r="A323" s="49" t="n"/>
      <c r="B323" s="49" t="n"/>
      <c r="C323" s="49" t="n"/>
      <c r="D323" s="49" t="n"/>
    </row>
    <row r="324">
      <c r="A324" s="49" t="n"/>
      <c r="B324" s="49" t="n"/>
      <c r="C324" s="49" t="n"/>
      <c r="D324" s="49" t="n"/>
    </row>
    <row r="325">
      <c r="A325" s="49" t="n"/>
      <c r="B325" s="49" t="n"/>
      <c r="C325" s="49" t="n"/>
      <c r="D325" s="49" t="n"/>
    </row>
    <row r="326">
      <c r="A326" s="49" t="n"/>
      <c r="B326" s="49" t="n"/>
      <c r="C326" s="49" t="n"/>
      <c r="D326" s="49" t="n"/>
    </row>
    <row r="327">
      <c r="A327" s="49" t="n"/>
      <c r="B327" s="49" t="n"/>
      <c r="C327" s="49" t="n"/>
      <c r="D327" s="49" t="n"/>
    </row>
    <row r="328">
      <c r="A328" s="49" t="n"/>
      <c r="B328" s="49" t="n"/>
      <c r="C328" s="49" t="n"/>
      <c r="D328" s="49" t="n"/>
    </row>
    <row r="329">
      <c r="A329" s="49" t="n"/>
      <c r="B329" s="49" t="n"/>
      <c r="C329" s="49" t="n"/>
      <c r="D329" s="49" t="n"/>
    </row>
    <row r="330">
      <c r="A330" s="49" t="n"/>
      <c r="B330" s="49" t="n"/>
      <c r="C330" s="49" t="n"/>
      <c r="D330" s="49" t="n"/>
    </row>
    <row r="331">
      <c r="A331" s="49" t="n"/>
      <c r="B331" s="49" t="n"/>
      <c r="C331" s="49" t="n"/>
      <c r="D331" s="49" t="n"/>
    </row>
    <row r="332">
      <c r="A332" s="49" t="n"/>
      <c r="B332" s="49" t="n"/>
      <c r="C332" s="49" t="n"/>
      <c r="D332" s="49" t="n"/>
    </row>
    <row r="333">
      <c r="A333" s="49" t="n"/>
      <c r="B333" s="49" t="n"/>
      <c r="C333" s="49" t="n"/>
      <c r="D333" s="49" t="n"/>
    </row>
    <row r="334">
      <c r="A334" s="49" t="n"/>
      <c r="B334" s="49" t="n"/>
      <c r="C334" s="49" t="n"/>
      <c r="D334" s="49" t="n"/>
    </row>
    <row r="335">
      <c r="A335" s="49" t="n"/>
      <c r="B335" s="49" t="n"/>
      <c r="C335" s="49" t="n"/>
      <c r="D335" s="49" t="n"/>
    </row>
    <row r="336">
      <c r="A336" s="49" t="n"/>
      <c r="B336" s="49" t="n"/>
      <c r="C336" s="49" t="n"/>
      <c r="D336" s="49" t="n"/>
    </row>
    <row r="337">
      <c r="A337" s="49" t="n"/>
      <c r="B337" s="49" t="n"/>
      <c r="C337" s="49" t="n"/>
      <c r="D337" s="49" t="n"/>
    </row>
    <row r="338">
      <c r="A338" s="49" t="n"/>
      <c r="B338" s="49" t="n"/>
      <c r="C338" s="49" t="n"/>
      <c r="D338" s="49" t="n"/>
    </row>
    <row r="339">
      <c r="A339" s="49" t="n"/>
      <c r="B339" s="49" t="n"/>
      <c r="C339" s="49" t="n"/>
      <c r="D339" s="49" t="n"/>
    </row>
    <row r="340">
      <c r="A340" s="49" t="n"/>
      <c r="B340" s="49" t="n"/>
      <c r="C340" s="49" t="n"/>
      <c r="D340" s="49" t="n"/>
    </row>
    <row r="341">
      <c r="A341" s="49" t="n"/>
      <c r="B341" s="49" t="n"/>
      <c r="C341" s="49" t="n"/>
      <c r="D341" s="49" t="n"/>
    </row>
    <row r="342">
      <c r="A342" s="49" t="n"/>
      <c r="B342" s="49" t="n"/>
      <c r="C342" s="49" t="n"/>
      <c r="D342" s="49" t="n"/>
    </row>
    <row r="343">
      <c r="A343" s="49" t="n"/>
      <c r="B343" s="49" t="n"/>
      <c r="C343" s="49" t="n"/>
      <c r="D343" s="49" t="n"/>
    </row>
    <row r="344">
      <c r="A344" s="49" t="n"/>
      <c r="B344" s="49" t="n"/>
      <c r="C344" s="49" t="n"/>
      <c r="D344" s="49" t="n"/>
    </row>
    <row r="345">
      <c r="A345" s="49" t="n"/>
      <c r="B345" s="49" t="n"/>
      <c r="C345" s="49" t="n"/>
      <c r="D345" s="49" t="n"/>
    </row>
    <row r="346">
      <c r="A346" s="49" t="n"/>
      <c r="B346" s="49" t="n"/>
      <c r="C346" s="49" t="n"/>
      <c r="D346" s="49" t="n"/>
    </row>
    <row r="347">
      <c r="A347" s="49" t="n"/>
      <c r="B347" s="49" t="n"/>
      <c r="C347" s="49" t="n"/>
      <c r="D347" s="49" t="n"/>
    </row>
    <row r="348">
      <c r="A348" s="49" t="n"/>
      <c r="B348" s="49" t="n"/>
      <c r="C348" s="49" t="n"/>
      <c r="D348" s="49" t="n"/>
    </row>
    <row r="349">
      <c r="A349" s="49" t="n"/>
      <c r="B349" s="49" t="n"/>
      <c r="C349" s="49" t="n"/>
      <c r="D349" s="49" t="n"/>
    </row>
    <row r="350">
      <c r="A350" s="49" t="n"/>
      <c r="B350" s="49" t="n"/>
      <c r="C350" s="49" t="n"/>
      <c r="D350" s="49" t="n"/>
    </row>
    <row r="351">
      <c r="A351" s="49" t="n"/>
      <c r="B351" s="49" t="n"/>
      <c r="C351" s="49" t="n"/>
      <c r="D351" s="49" t="n"/>
    </row>
    <row r="352">
      <c r="A352" s="49" t="n"/>
      <c r="B352" s="49" t="n"/>
      <c r="C352" s="49" t="n"/>
      <c r="D352" s="49" t="n"/>
    </row>
    <row r="353">
      <c r="A353" s="49" t="n"/>
      <c r="B353" s="49" t="n"/>
      <c r="C353" s="49" t="n"/>
      <c r="D353" s="49" t="n"/>
    </row>
    <row r="354">
      <c r="A354" s="49" t="n"/>
      <c r="B354" s="49" t="n"/>
      <c r="C354" s="49" t="n"/>
      <c r="D354" s="49" t="n"/>
    </row>
    <row r="355">
      <c r="A355" s="49" t="n"/>
      <c r="B355" s="49" t="n"/>
      <c r="C355" s="49" t="n"/>
      <c r="D355" s="49" t="n"/>
    </row>
    <row r="356">
      <c r="A356" s="49" t="n"/>
      <c r="B356" s="49" t="n"/>
      <c r="C356" s="49" t="n"/>
      <c r="D356" s="49" t="n"/>
    </row>
    <row r="357">
      <c r="A357" s="49" t="n"/>
      <c r="B357" s="49" t="n"/>
      <c r="C357" s="49" t="n"/>
      <c r="D357" s="49" t="n"/>
    </row>
    <row r="358">
      <c r="A358" s="49" t="n"/>
      <c r="B358" s="49" t="n"/>
      <c r="C358" s="49" t="n"/>
      <c r="D358" s="49" t="n"/>
    </row>
    <row r="359">
      <c r="A359" s="49" t="n"/>
      <c r="B359" s="49" t="n"/>
      <c r="C359" s="49" t="n"/>
      <c r="D359" s="49" t="n"/>
    </row>
    <row r="360">
      <c r="A360" s="49" t="n"/>
      <c r="B360" s="49" t="n"/>
      <c r="C360" s="49" t="n"/>
      <c r="D360" s="49" t="n"/>
    </row>
    <row r="361">
      <c r="A361" s="49" t="n"/>
      <c r="B361" s="49" t="n"/>
      <c r="C361" s="49" t="n"/>
      <c r="D361" s="49" t="n"/>
    </row>
    <row r="362">
      <c r="A362" s="49" t="n"/>
      <c r="B362" s="49" t="n"/>
      <c r="C362" s="49" t="n"/>
      <c r="D362" s="49" t="n"/>
    </row>
    <row r="363">
      <c r="A363" s="49" t="n"/>
      <c r="B363" s="49" t="n"/>
      <c r="C363" s="49" t="n"/>
      <c r="D363" s="49" t="n"/>
    </row>
    <row r="364">
      <c r="A364" s="49" t="n"/>
      <c r="B364" s="49" t="n"/>
      <c r="C364" s="49" t="n"/>
      <c r="D364" s="49" t="n"/>
    </row>
    <row r="365">
      <c r="A365" s="49" t="n"/>
      <c r="B365" s="49" t="n"/>
      <c r="C365" s="49" t="n"/>
      <c r="D365" s="49" t="n"/>
    </row>
    <row r="366">
      <c r="A366" s="49" t="n"/>
      <c r="B366" s="49" t="n"/>
      <c r="C366" s="49" t="n"/>
      <c r="D366" s="49" t="n"/>
    </row>
    <row r="367">
      <c r="A367" s="49" t="n"/>
      <c r="B367" s="49" t="n"/>
      <c r="C367" s="49" t="n"/>
      <c r="D367" s="49" t="n"/>
    </row>
    <row r="368">
      <c r="A368" s="49" t="n"/>
      <c r="B368" s="49" t="n"/>
      <c r="C368" s="49" t="n"/>
      <c r="D368" s="49" t="n"/>
    </row>
    <row r="369">
      <c r="A369" s="49" t="n"/>
      <c r="B369" s="49" t="n"/>
      <c r="C369" s="49" t="n"/>
      <c r="D369" s="49" t="n"/>
    </row>
    <row r="370">
      <c r="A370" s="49" t="n"/>
      <c r="B370" s="49" t="n"/>
      <c r="C370" s="49" t="n"/>
      <c r="D370" s="49" t="n"/>
    </row>
    <row r="371">
      <c r="A371" s="49" t="n"/>
      <c r="B371" s="49" t="n"/>
      <c r="C371" s="49" t="n"/>
      <c r="D371" s="49" t="n"/>
    </row>
    <row r="372">
      <c r="A372" s="49" t="n"/>
      <c r="B372" s="49" t="n"/>
      <c r="C372" s="49" t="n"/>
      <c r="D372" s="49" t="n"/>
    </row>
    <row r="373">
      <c r="A373" s="49" t="n"/>
      <c r="B373" s="49" t="n"/>
      <c r="C373" s="49" t="n"/>
      <c r="D373" s="49" t="n"/>
    </row>
    <row r="374">
      <c r="A374" s="49" t="n"/>
      <c r="B374" s="49" t="n"/>
      <c r="C374" s="49" t="n"/>
      <c r="D374" s="49" t="n"/>
    </row>
    <row r="375">
      <c r="A375" s="49" t="n"/>
      <c r="B375" s="49" t="n"/>
      <c r="C375" s="49" t="n"/>
      <c r="D375" s="49" t="n"/>
    </row>
    <row r="376">
      <c r="A376" s="49" t="n"/>
      <c r="B376" s="49" t="n"/>
      <c r="C376" s="49" t="n"/>
      <c r="D376" s="49" t="n"/>
    </row>
    <row r="377">
      <c r="A377" s="49" t="n"/>
      <c r="B377" s="49" t="n"/>
      <c r="C377" s="49" t="n"/>
      <c r="D377" s="49" t="n"/>
    </row>
    <row r="378">
      <c r="A378" s="49" t="n"/>
      <c r="B378" s="49" t="n"/>
      <c r="C378" s="49" t="n"/>
      <c r="D378" s="49" t="n"/>
    </row>
    <row r="379">
      <c r="A379" s="49" t="n"/>
      <c r="B379" s="49" t="n"/>
      <c r="C379" s="49" t="n"/>
      <c r="D379" s="49" t="n"/>
    </row>
    <row r="380">
      <c r="A380" s="49" t="n"/>
      <c r="B380" s="49" t="n"/>
      <c r="C380" s="49" t="n"/>
      <c r="D380" s="49" t="n"/>
    </row>
    <row r="381">
      <c r="A381" s="49" t="n"/>
      <c r="B381" s="49" t="n"/>
      <c r="C381" s="49" t="n"/>
      <c r="D381" s="49" t="n"/>
    </row>
    <row r="382">
      <c r="A382" s="49" t="n"/>
      <c r="B382" s="49" t="n"/>
      <c r="C382" s="49" t="n"/>
      <c r="D382" s="49" t="n"/>
    </row>
    <row r="383">
      <c r="A383" s="49" t="n"/>
      <c r="B383" s="49" t="n"/>
      <c r="C383" s="49" t="n"/>
      <c r="D383" s="49" t="n"/>
    </row>
    <row r="384">
      <c r="A384" s="49" t="n"/>
      <c r="B384" s="49" t="n"/>
      <c r="C384" s="49" t="n"/>
      <c r="D384" s="49" t="n"/>
    </row>
    <row r="385">
      <c r="A385" s="49" t="n"/>
      <c r="B385" s="49" t="n"/>
      <c r="C385" s="49" t="n"/>
      <c r="D385" s="49" t="n"/>
    </row>
    <row r="386">
      <c r="A386" s="49" t="n"/>
      <c r="B386" s="49" t="n"/>
      <c r="C386" s="49" t="n"/>
      <c r="D386" s="49" t="n"/>
    </row>
    <row r="387">
      <c r="A387" s="49" t="n"/>
      <c r="B387" s="49" t="n"/>
      <c r="C387" s="49" t="n"/>
      <c r="D387" s="49" t="n"/>
    </row>
    <row r="388">
      <c r="A388" s="49" t="n"/>
      <c r="B388" s="49" t="n"/>
      <c r="C388" s="49" t="n"/>
      <c r="D388" s="49" t="n"/>
    </row>
    <row r="389">
      <c r="A389" s="49" t="n"/>
      <c r="B389" s="49" t="n"/>
      <c r="C389" s="49" t="n"/>
      <c r="D389" s="49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C17"/>
  <sheetViews>
    <sheetView zoomScale="120" zoomScaleNormal="120" workbookViewId="0">
      <selection activeCell="A2" sqref="A2"/>
    </sheetView>
  </sheetViews>
  <sheetFormatPr baseColWidth="8" defaultRowHeight="15"/>
  <cols>
    <col width="9.140625" customWidth="1" style="84" min="1" max="16384"/>
  </cols>
  <sheetData>
    <row r="1">
      <c r="A1" s="84" t="inlineStr">
        <is>
          <t>PCSAFTA User Defined Function:</t>
        </is>
      </c>
    </row>
    <row r="3">
      <c r="B3" s="84" t="inlineStr">
        <is>
          <t xml:space="preserve">1. The PCSAFTA user defined function returns the residual Helmholtz free energy of the system, </t>
        </is>
      </c>
    </row>
    <row r="5">
      <c r="C5" s="79" t="inlineStr">
        <is>
          <t>=PCSAFTA(T,ρ,x-range,m-range,σ-range,ε-range,kij-range)</t>
        </is>
      </c>
    </row>
    <row r="7">
      <c r="C7" s="79" t="inlineStr">
        <is>
          <t>T = absolute temperature /K</t>
        </is>
      </c>
    </row>
    <row r="8" ht="17.25" customHeight="1">
      <c r="C8" s="83" t="inlineStr">
        <is>
          <t>ρ = total number density of molecules /Å−3</t>
        </is>
      </c>
    </row>
    <row r="9">
      <c r="C9" s="80" t="inlineStr">
        <is>
          <t>x-range = mole fractions for all components (must be in a row not a column)</t>
        </is>
      </c>
    </row>
    <row r="10">
      <c r="C10" s="80" t="inlineStr">
        <is>
          <t>m-range = number of segments for all components (must be in a row not a column)</t>
        </is>
      </c>
    </row>
    <row r="11">
      <c r="C11" s="80" t="inlineStr">
        <is>
          <t>σ-range = temperature-independent segment diameter for all components (must be in a row not a column) /Å</t>
        </is>
      </c>
    </row>
    <row r="12">
      <c r="C12" s="80" t="inlineStr">
        <is>
          <t>ε-range = depth of pair potential / Boltzmann constant for all components (must be in a row not a column) /K</t>
        </is>
      </c>
    </row>
    <row r="13">
      <c r="C13" s="80" t="inlineStr">
        <is>
          <t>kij-range = binary interaction parameters for all component pairs (must be set out in full using a n by n array)</t>
        </is>
      </c>
    </row>
    <row r="14">
      <c r="B14" s="83" t="n"/>
      <c r="C14" s="84" t="n"/>
    </row>
    <row r="15">
      <c r="C15" s="84" t="n"/>
    </row>
    <row r="16">
      <c r="C16" s="84" t="n"/>
    </row>
    <row r="17">
      <c r="C17" s="79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D47"/>
  <sheetViews>
    <sheetView tabSelected="1" workbookViewId="0">
      <selection activeCell="A5" sqref="A5"/>
    </sheetView>
  </sheetViews>
  <sheetFormatPr baseColWidth="8" defaultRowHeight="15"/>
  <cols>
    <col width="9.140625" customWidth="1" style="18" min="1" max="1"/>
    <col width="13.28515625" customWidth="1" style="18" min="2" max="2"/>
    <col width="9.140625" customWidth="1" style="18" min="3" max="3"/>
    <col width="13" customWidth="1" style="18" min="4" max="4"/>
    <col width="9.140625" customWidth="1" style="18" min="5" max="257"/>
    <col width="13.28515625" customWidth="1" style="18" min="258" max="258"/>
    <col width="9.140625" customWidth="1" style="18" min="259" max="259"/>
    <col width="13" customWidth="1" style="18" min="260" max="260"/>
    <col width="9.140625" customWidth="1" style="18" min="261" max="513"/>
    <col width="13.28515625" customWidth="1" style="18" min="514" max="514"/>
    <col width="9.140625" customWidth="1" style="18" min="515" max="515"/>
    <col width="13" customWidth="1" style="18" min="516" max="516"/>
    <col width="9.140625" customWidth="1" style="18" min="517" max="769"/>
    <col width="13.28515625" customWidth="1" style="18" min="770" max="770"/>
    <col width="9.140625" customWidth="1" style="18" min="771" max="771"/>
    <col width="13" customWidth="1" style="18" min="772" max="772"/>
    <col width="9.140625" customWidth="1" style="18" min="773" max="1025"/>
    <col width="13.28515625" customWidth="1" style="18" min="1026" max="1026"/>
    <col width="9.140625" customWidth="1" style="18" min="1027" max="1027"/>
    <col width="13" customWidth="1" style="18" min="1028" max="1028"/>
    <col width="9.140625" customWidth="1" style="18" min="1029" max="1281"/>
    <col width="13.28515625" customWidth="1" style="18" min="1282" max="1282"/>
    <col width="9.140625" customWidth="1" style="18" min="1283" max="1283"/>
    <col width="13" customWidth="1" style="18" min="1284" max="1284"/>
    <col width="9.140625" customWidth="1" style="18" min="1285" max="1537"/>
    <col width="13.28515625" customWidth="1" style="18" min="1538" max="1538"/>
    <col width="9.140625" customWidth="1" style="18" min="1539" max="1539"/>
    <col width="13" customWidth="1" style="18" min="1540" max="1540"/>
    <col width="9.140625" customWidth="1" style="18" min="1541" max="1793"/>
    <col width="13.28515625" customWidth="1" style="18" min="1794" max="1794"/>
    <col width="9.140625" customWidth="1" style="18" min="1795" max="1795"/>
    <col width="13" customWidth="1" style="18" min="1796" max="1796"/>
    <col width="9.140625" customWidth="1" style="18" min="1797" max="2049"/>
    <col width="13.28515625" customWidth="1" style="18" min="2050" max="2050"/>
    <col width="9.140625" customWidth="1" style="18" min="2051" max="2051"/>
    <col width="13" customWidth="1" style="18" min="2052" max="2052"/>
    <col width="9.140625" customWidth="1" style="18" min="2053" max="2305"/>
    <col width="13.28515625" customWidth="1" style="18" min="2306" max="2306"/>
    <col width="9.140625" customWidth="1" style="18" min="2307" max="2307"/>
    <col width="13" customWidth="1" style="18" min="2308" max="2308"/>
    <col width="9.140625" customWidth="1" style="18" min="2309" max="2561"/>
    <col width="13.28515625" customWidth="1" style="18" min="2562" max="2562"/>
    <col width="9.140625" customWidth="1" style="18" min="2563" max="2563"/>
    <col width="13" customWidth="1" style="18" min="2564" max="2564"/>
    <col width="9.140625" customWidth="1" style="18" min="2565" max="2817"/>
    <col width="13.28515625" customWidth="1" style="18" min="2818" max="2818"/>
    <col width="9.140625" customWidth="1" style="18" min="2819" max="2819"/>
    <col width="13" customWidth="1" style="18" min="2820" max="2820"/>
    <col width="9.140625" customWidth="1" style="18" min="2821" max="3073"/>
    <col width="13.28515625" customWidth="1" style="18" min="3074" max="3074"/>
    <col width="9.140625" customWidth="1" style="18" min="3075" max="3075"/>
    <col width="13" customWidth="1" style="18" min="3076" max="3076"/>
    <col width="9.140625" customWidth="1" style="18" min="3077" max="3329"/>
    <col width="13.28515625" customWidth="1" style="18" min="3330" max="3330"/>
    <col width="9.140625" customWidth="1" style="18" min="3331" max="3331"/>
    <col width="13" customWidth="1" style="18" min="3332" max="3332"/>
    <col width="9.140625" customWidth="1" style="18" min="3333" max="3585"/>
    <col width="13.28515625" customWidth="1" style="18" min="3586" max="3586"/>
    <col width="9.140625" customWidth="1" style="18" min="3587" max="3587"/>
    <col width="13" customWidth="1" style="18" min="3588" max="3588"/>
    <col width="9.140625" customWidth="1" style="18" min="3589" max="3841"/>
    <col width="13.28515625" customWidth="1" style="18" min="3842" max="3842"/>
    <col width="9.140625" customWidth="1" style="18" min="3843" max="3843"/>
    <col width="13" customWidth="1" style="18" min="3844" max="3844"/>
    <col width="9.140625" customWidth="1" style="18" min="3845" max="4097"/>
    <col width="13.28515625" customWidth="1" style="18" min="4098" max="4098"/>
    <col width="9.140625" customWidth="1" style="18" min="4099" max="4099"/>
    <col width="13" customWidth="1" style="18" min="4100" max="4100"/>
    <col width="9.140625" customWidth="1" style="18" min="4101" max="4353"/>
    <col width="13.28515625" customWidth="1" style="18" min="4354" max="4354"/>
    <col width="9.140625" customWidth="1" style="18" min="4355" max="4355"/>
    <col width="13" customWidth="1" style="18" min="4356" max="4356"/>
    <col width="9.140625" customWidth="1" style="18" min="4357" max="4609"/>
    <col width="13.28515625" customWidth="1" style="18" min="4610" max="4610"/>
    <col width="9.140625" customWidth="1" style="18" min="4611" max="4611"/>
    <col width="13" customWidth="1" style="18" min="4612" max="4612"/>
    <col width="9.140625" customWidth="1" style="18" min="4613" max="4865"/>
    <col width="13.28515625" customWidth="1" style="18" min="4866" max="4866"/>
    <col width="9.140625" customWidth="1" style="18" min="4867" max="4867"/>
    <col width="13" customWidth="1" style="18" min="4868" max="4868"/>
    <col width="9.140625" customWidth="1" style="18" min="4869" max="5121"/>
    <col width="13.28515625" customWidth="1" style="18" min="5122" max="5122"/>
    <col width="9.140625" customWidth="1" style="18" min="5123" max="5123"/>
    <col width="13" customWidth="1" style="18" min="5124" max="5124"/>
    <col width="9.140625" customWidth="1" style="18" min="5125" max="5377"/>
    <col width="13.28515625" customWidth="1" style="18" min="5378" max="5378"/>
    <col width="9.140625" customWidth="1" style="18" min="5379" max="5379"/>
    <col width="13" customWidth="1" style="18" min="5380" max="5380"/>
    <col width="9.140625" customWidth="1" style="18" min="5381" max="5633"/>
    <col width="13.28515625" customWidth="1" style="18" min="5634" max="5634"/>
    <col width="9.140625" customWidth="1" style="18" min="5635" max="5635"/>
    <col width="13" customWidth="1" style="18" min="5636" max="5636"/>
    <col width="9.140625" customWidth="1" style="18" min="5637" max="5889"/>
    <col width="13.28515625" customWidth="1" style="18" min="5890" max="5890"/>
    <col width="9.140625" customWidth="1" style="18" min="5891" max="5891"/>
    <col width="13" customWidth="1" style="18" min="5892" max="5892"/>
    <col width="9.140625" customWidth="1" style="18" min="5893" max="6145"/>
    <col width="13.28515625" customWidth="1" style="18" min="6146" max="6146"/>
    <col width="9.140625" customWidth="1" style="18" min="6147" max="6147"/>
    <col width="13" customWidth="1" style="18" min="6148" max="6148"/>
    <col width="9.140625" customWidth="1" style="18" min="6149" max="6401"/>
    <col width="13.28515625" customWidth="1" style="18" min="6402" max="6402"/>
    <col width="9.140625" customWidth="1" style="18" min="6403" max="6403"/>
    <col width="13" customWidth="1" style="18" min="6404" max="6404"/>
    <col width="9.140625" customWidth="1" style="18" min="6405" max="6657"/>
    <col width="13.28515625" customWidth="1" style="18" min="6658" max="6658"/>
    <col width="9.140625" customWidth="1" style="18" min="6659" max="6659"/>
    <col width="13" customWidth="1" style="18" min="6660" max="6660"/>
    <col width="9.140625" customWidth="1" style="18" min="6661" max="6913"/>
    <col width="13.28515625" customWidth="1" style="18" min="6914" max="6914"/>
    <col width="9.140625" customWidth="1" style="18" min="6915" max="6915"/>
    <col width="13" customWidth="1" style="18" min="6916" max="6916"/>
    <col width="9.140625" customWidth="1" style="18" min="6917" max="7169"/>
    <col width="13.28515625" customWidth="1" style="18" min="7170" max="7170"/>
    <col width="9.140625" customWidth="1" style="18" min="7171" max="7171"/>
    <col width="13" customWidth="1" style="18" min="7172" max="7172"/>
    <col width="9.140625" customWidth="1" style="18" min="7173" max="7425"/>
    <col width="13.28515625" customWidth="1" style="18" min="7426" max="7426"/>
    <col width="9.140625" customWidth="1" style="18" min="7427" max="7427"/>
    <col width="13" customWidth="1" style="18" min="7428" max="7428"/>
    <col width="9.140625" customWidth="1" style="18" min="7429" max="7681"/>
    <col width="13.28515625" customWidth="1" style="18" min="7682" max="7682"/>
    <col width="9.140625" customWidth="1" style="18" min="7683" max="7683"/>
    <col width="13" customWidth="1" style="18" min="7684" max="7684"/>
    <col width="9.140625" customWidth="1" style="18" min="7685" max="7937"/>
    <col width="13.28515625" customWidth="1" style="18" min="7938" max="7938"/>
    <col width="9.140625" customWidth="1" style="18" min="7939" max="7939"/>
    <col width="13" customWidth="1" style="18" min="7940" max="7940"/>
    <col width="9.140625" customWidth="1" style="18" min="7941" max="8193"/>
    <col width="13.28515625" customWidth="1" style="18" min="8194" max="8194"/>
    <col width="9.140625" customWidth="1" style="18" min="8195" max="8195"/>
    <col width="13" customWidth="1" style="18" min="8196" max="8196"/>
    <col width="9.140625" customWidth="1" style="18" min="8197" max="8449"/>
    <col width="13.28515625" customWidth="1" style="18" min="8450" max="8450"/>
    <col width="9.140625" customWidth="1" style="18" min="8451" max="8451"/>
    <col width="13" customWidth="1" style="18" min="8452" max="8452"/>
    <col width="9.140625" customWidth="1" style="18" min="8453" max="8705"/>
    <col width="13.28515625" customWidth="1" style="18" min="8706" max="8706"/>
    <col width="9.140625" customWidth="1" style="18" min="8707" max="8707"/>
    <col width="13" customWidth="1" style="18" min="8708" max="8708"/>
    <col width="9.140625" customWidth="1" style="18" min="8709" max="8961"/>
    <col width="13.28515625" customWidth="1" style="18" min="8962" max="8962"/>
    <col width="9.140625" customWidth="1" style="18" min="8963" max="8963"/>
    <col width="13" customWidth="1" style="18" min="8964" max="8964"/>
    <col width="9.140625" customWidth="1" style="18" min="8965" max="9217"/>
    <col width="13.28515625" customWidth="1" style="18" min="9218" max="9218"/>
    <col width="9.140625" customWidth="1" style="18" min="9219" max="9219"/>
    <col width="13" customWidth="1" style="18" min="9220" max="9220"/>
    <col width="9.140625" customWidth="1" style="18" min="9221" max="9473"/>
    <col width="13.28515625" customWidth="1" style="18" min="9474" max="9474"/>
    <col width="9.140625" customWidth="1" style="18" min="9475" max="9475"/>
    <col width="13" customWidth="1" style="18" min="9476" max="9476"/>
    <col width="9.140625" customWidth="1" style="18" min="9477" max="9729"/>
    <col width="13.28515625" customWidth="1" style="18" min="9730" max="9730"/>
    <col width="9.140625" customWidth="1" style="18" min="9731" max="9731"/>
    <col width="13" customWidth="1" style="18" min="9732" max="9732"/>
    <col width="9.140625" customWidth="1" style="18" min="9733" max="9985"/>
    <col width="13.28515625" customWidth="1" style="18" min="9986" max="9986"/>
    <col width="9.140625" customWidth="1" style="18" min="9987" max="9987"/>
    <col width="13" customWidth="1" style="18" min="9988" max="9988"/>
    <col width="9.140625" customWidth="1" style="18" min="9989" max="10241"/>
    <col width="13.28515625" customWidth="1" style="18" min="10242" max="10242"/>
    <col width="9.140625" customWidth="1" style="18" min="10243" max="10243"/>
    <col width="13" customWidth="1" style="18" min="10244" max="10244"/>
    <col width="9.140625" customWidth="1" style="18" min="10245" max="10497"/>
    <col width="13.28515625" customWidth="1" style="18" min="10498" max="10498"/>
    <col width="9.140625" customWidth="1" style="18" min="10499" max="10499"/>
    <col width="13" customWidth="1" style="18" min="10500" max="10500"/>
    <col width="9.140625" customWidth="1" style="18" min="10501" max="10753"/>
    <col width="13.28515625" customWidth="1" style="18" min="10754" max="10754"/>
    <col width="9.140625" customWidth="1" style="18" min="10755" max="10755"/>
    <col width="13" customWidth="1" style="18" min="10756" max="10756"/>
    <col width="9.140625" customWidth="1" style="18" min="10757" max="11009"/>
    <col width="13.28515625" customWidth="1" style="18" min="11010" max="11010"/>
    <col width="9.140625" customWidth="1" style="18" min="11011" max="11011"/>
    <col width="13" customWidth="1" style="18" min="11012" max="11012"/>
    <col width="9.140625" customWidth="1" style="18" min="11013" max="11265"/>
    <col width="13.28515625" customWidth="1" style="18" min="11266" max="11266"/>
    <col width="9.140625" customWidth="1" style="18" min="11267" max="11267"/>
    <col width="13" customWidth="1" style="18" min="11268" max="11268"/>
    <col width="9.140625" customWidth="1" style="18" min="11269" max="11521"/>
    <col width="13.28515625" customWidth="1" style="18" min="11522" max="11522"/>
    <col width="9.140625" customWidth="1" style="18" min="11523" max="11523"/>
    <col width="13" customWidth="1" style="18" min="11524" max="11524"/>
    <col width="9.140625" customWidth="1" style="18" min="11525" max="11777"/>
    <col width="13.28515625" customWidth="1" style="18" min="11778" max="11778"/>
    <col width="9.140625" customWidth="1" style="18" min="11779" max="11779"/>
    <col width="13" customWidth="1" style="18" min="11780" max="11780"/>
    <col width="9.140625" customWidth="1" style="18" min="11781" max="12033"/>
    <col width="13.28515625" customWidth="1" style="18" min="12034" max="12034"/>
    <col width="9.140625" customWidth="1" style="18" min="12035" max="12035"/>
    <col width="13" customWidth="1" style="18" min="12036" max="12036"/>
    <col width="9.140625" customWidth="1" style="18" min="12037" max="12289"/>
    <col width="13.28515625" customWidth="1" style="18" min="12290" max="12290"/>
    <col width="9.140625" customWidth="1" style="18" min="12291" max="12291"/>
    <col width="13" customWidth="1" style="18" min="12292" max="12292"/>
    <col width="9.140625" customWidth="1" style="18" min="12293" max="12545"/>
    <col width="13.28515625" customWidth="1" style="18" min="12546" max="12546"/>
    <col width="9.140625" customWidth="1" style="18" min="12547" max="12547"/>
    <col width="13" customWidth="1" style="18" min="12548" max="12548"/>
    <col width="9.140625" customWidth="1" style="18" min="12549" max="12801"/>
    <col width="13.28515625" customWidth="1" style="18" min="12802" max="12802"/>
    <col width="9.140625" customWidth="1" style="18" min="12803" max="12803"/>
    <col width="13" customWidth="1" style="18" min="12804" max="12804"/>
    <col width="9.140625" customWidth="1" style="18" min="12805" max="13057"/>
    <col width="13.28515625" customWidth="1" style="18" min="13058" max="13058"/>
    <col width="9.140625" customWidth="1" style="18" min="13059" max="13059"/>
    <col width="13" customWidth="1" style="18" min="13060" max="13060"/>
    <col width="9.140625" customWidth="1" style="18" min="13061" max="13313"/>
    <col width="13.28515625" customWidth="1" style="18" min="13314" max="13314"/>
    <col width="9.140625" customWidth="1" style="18" min="13315" max="13315"/>
    <col width="13" customWidth="1" style="18" min="13316" max="13316"/>
    <col width="9.140625" customWidth="1" style="18" min="13317" max="13569"/>
    <col width="13.28515625" customWidth="1" style="18" min="13570" max="13570"/>
    <col width="9.140625" customWidth="1" style="18" min="13571" max="13571"/>
    <col width="13" customWidth="1" style="18" min="13572" max="13572"/>
    <col width="9.140625" customWidth="1" style="18" min="13573" max="13825"/>
    <col width="13.28515625" customWidth="1" style="18" min="13826" max="13826"/>
    <col width="9.140625" customWidth="1" style="18" min="13827" max="13827"/>
    <col width="13" customWidth="1" style="18" min="13828" max="13828"/>
    <col width="9.140625" customWidth="1" style="18" min="13829" max="14081"/>
    <col width="13.28515625" customWidth="1" style="18" min="14082" max="14082"/>
    <col width="9.140625" customWidth="1" style="18" min="14083" max="14083"/>
    <col width="13" customWidth="1" style="18" min="14084" max="14084"/>
    <col width="9.140625" customWidth="1" style="18" min="14085" max="14337"/>
    <col width="13.28515625" customWidth="1" style="18" min="14338" max="14338"/>
    <col width="9.140625" customWidth="1" style="18" min="14339" max="14339"/>
    <col width="13" customWidth="1" style="18" min="14340" max="14340"/>
    <col width="9.140625" customWidth="1" style="18" min="14341" max="14593"/>
    <col width="13.28515625" customWidth="1" style="18" min="14594" max="14594"/>
    <col width="9.140625" customWidth="1" style="18" min="14595" max="14595"/>
    <col width="13" customWidth="1" style="18" min="14596" max="14596"/>
    <col width="9.140625" customWidth="1" style="18" min="14597" max="14849"/>
    <col width="13.28515625" customWidth="1" style="18" min="14850" max="14850"/>
    <col width="9.140625" customWidth="1" style="18" min="14851" max="14851"/>
    <col width="13" customWidth="1" style="18" min="14852" max="14852"/>
    <col width="9.140625" customWidth="1" style="18" min="14853" max="15105"/>
    <col width="13.28515625" customWidth="1" style="18" min="15106" max="15106"/>
    <col width="9.140625" customWidth="1" style="18" min="15107" max="15107"/>
    <col width="13" customWidth="1" style="18" min="15108" max="15108"/>
    <col width="9.140625" customWidth="1" style="18" min="15109" max="15361"/>
    <col width="13.28515625" customWidth="1" style="18" min="15362" max="15362"/>
    <col width="9.140625" customWidth="1" style="18" min="15363" max="15363"/>
    <col width="13" customWidth="1" style="18" min="15364" max="15364"/>
    <col width="9.140625" customWidth="1" style="18" min="15365" max="15617"/>
    <col width="13.28515625" customWidth="1" style="18" min="15618" max="15618"/>
    <col width="9.140625" customWidth="1" style="18" min="15619" max="15619"/>
    <col width="13" customWidth="1" style="18" min="15620" max="15620"/>
    <col width="9.140625" customWidth="1" style="18" min="15621" max="15873"/>
    <col width="13.28515625" customWidth="1" style="18" min="15874" max="15874"/>
    <col width="9.140625" customWidth="1" style="18" min="15875" max="15875"/>
    <col width="13" customWidth="1" style="18" min="15876" max="15876"/>
    <col width="9.140625" customWidth="1" style="18" min="15877" max="16129"/>
    <col width="13.28515625" customWidth="1" style="18" min="16130" max="16130"/>
    <col width="9.140625" customWidth="1" style="18" min="16131" max="16131"/>
    <col width="13" customWidth="1" style="18" min="16132" max="16132"/>
    <col width="9.140625" customWidth="1" style="18" min="16133" max="16384"/>
  </cols>
  <sheetData>
    <row r="1" ht="15.75" customHeight="1">
      <c r="A1" s="16" t="inlineStr">
        <is>
          <t>Disclaimer</t>
        </is>
      </c>
      <c r="B1" s="17" t="n"/>
      <c r="C1" s="17" t="n"/>
      <c r="D1" s="17" t="n"/>
    </row>
    <row r="2" ht="15.75" customHeight="1">
      <c r="A2" s="17" t="inlineStr">
        <is>
          <t>This spreadsheet is distributed in the hope that it will be useful,</t>
        </is>
      </c>
      <c r="B2" s="17" t="n"/>
      <c r="C2" s="17" t="n"/>
      <c r="D2" s="17" t="n"/>
    </row>
    <row r="3" ht="15.75" customHeight="1">
      <c r="A3" s="17" t="inlineStr">
        <is>
          <t>but WITHOUT ANY WARRANTY; without even the implied warranty of</t>
        </is>
      </c>
      <c r="B3" s="17" t="n"/>
      <c r="C3" s="17" t="n"/>
      <c r="D3" s="17" t="n"/>
    </row>
    <row r="4" ht="15.75" customHeight="1">
      <c r="A4" s="17" t="inlineStr">
        <is>
          <t xml:space="preserve">MERCHANTABILITY or FITNESS FOR A PARTICULAR PURPOSE. </t>
        </is>
      </c>
      <c r="B4" s="17" t="n"/>
      <c r="C4" s="17" t="n"/>
      <c r="D4" s="17" t="n"/>
    </row>
    <row r="5" ht="15.75" customHeight="1">
      <c r="B5" s="17" t="n"/>
      <c r="C5" s="17" t="n"/>
      <c r="D5" s="17" t="n"/>
    </row>
    <row r="6" ht="15.75" customHeight="1">
      <c r="A6" s="17" t="inlineStr">
        <is>
          <t>By Daniel J. Belton. Spreadsheet licensed under a Creative Commons Attribution-NonCommercial 4.0.</t>
        </is>
      </c>
      <c r="B6" s="17" t="n"/>
      <c r="C6" s="17" t="n"/>
      <c r="D6" s="17" t="n"/>
    </row>
    <row r="7" ht="15.75" customHeight="1">
      <c r="A7" s="16" t="n"/>
      <c r="B7" s="17" t="n"/>
      <c r="C7" s="17" t="n"/>
      <c r="D7" s="17" t="n"/>
    </row>
    <row r="8" ht="15.75" customHeight="1">
      <c r="A8" s="16" t="n"/>
      <c r="B8" s="17" t="n"/>
      <c r="C8" s="17" t="n"/>
      <c r="D8" s="17" t="n"/>
    </row>
    <row r="9" ht="15.75" customHeight="1">
      <c r="A9" s="16" t="n"/>
      <c r="B9" s="17" t="n"/>
      <c r="C9" s="17" t="n"/>
      <c r="D9" s="17" t="n"/>
    </row>
    <row r="10" ht="15.75" customHeight="1">
      <c r="A10" s="16" t="n"/>
      <c r="B10" s="17" t="n"/>
      <c r="C10" s="17" t="n"/>
      <c r="D10" s="17" t="n"/>
    </row>
    <row r="11" ht="15.75" customHeight="1">
      <c r="A11" s="16" t="n"/>
      <c r="B11" s="17" t="n"/>
      <c r="C11" s="17" t="n"/>
      <c r="D11" s="17" t="n"/>
    </row>
    <row r="12" ht="15.75" customHeight="1">
      <c r="A12" s="16" t="n"/>
      <c r="B12" s="17" t="n"/>
      <c r="C12" s="17" t="n"/>
      <c r="D12" s="17" t="n"/>
    </row>
    <row r="13" ht="15.75" customHeight="1">
      <c r="A13" s="16" t="n"/>
      <c r="B13" s="17" t="n"/>
      <c r="C13" s="17" t="n"/>
      <c r="D13" s="17" t="n"/>
    </row>
    <row r="14" ht="15.75" customHeight="1">
      <c r="A14" s="16" t="n"/>
      <c r="B14" s="17" t="n"/>
      <c r="C14" s="17" t="n"/>
      <c r="D14" s="17" t="n"/>
    </row>
    <row r="15" ht="15.75" customHeight="1">
      <c r="A15" s="16" t="n"/>
      <c r="B15" s="17" t="n"/>
      <c r="C15" s="17" t="n"/>
      <c r="D15" s="17" t="n"/>
    </row>
    <row r="16" ht="15.75" customHeight="1">
      <c r="A16" s="16" t="n"/>
      <c r="B16" s="17" t="n"/>
      <c r="C16" s="17" t="n"/>
      <c r="D16" s="17" t="n"/>
    </row>
    <row r="17" ht="15.75" customHeight="1">
      <c r="A17" s="16" t="n"/>
      <c r="B17" s="17" t="n"/>
      <c r="C17" s="17" t="n"/>
      <c r="D17" s="17" t="n"/>
    </row>
    <row r="18" ht="15.75" customHeight="1">
      <c r="A18" s="16" t="n"/>
      <c r="B18" s="17" t="n"/>
      <c r="C18" s="17" t="n"/>
      <c r="D18" s="17" t="n"/>
    </row>
    <row r="19" ht="15.75" customHeight="1">
      <c r="A19" s="16" t="n"/>
      <c r="B19" s="17" t="n"/>
      <c r="C19" s="17" t="n"/>
      <c r="D19" s="17" t="n"/>
    </row>
    <row r="20" ht="15.75" customHeight="1">
      <c r="A20" s="16" t="n"/>
      <c r="B20" s="17" t="n"/>
      <c r="C20" s="17" t="n"/>
      <c r="D20" s="17" t="n"/>
    </row>
    <row r="21" ht="15.75" customHeight="1">
      <c r="A21" s="16" t="n"/>
      <c r="B21" s="17" t="n"/>
      <c r="C21" s="17" t="n"/>
      <c r="D21" s="17" t="n"/>
    </row>
    <row r="22" ht="15.75" customHeight="1">
      <c r="A22" s="16" t="n"/>
      <c r="B22" s="17" t="n"/>
      <c r="C22" s="17" t="n"/>
      <c r="D22" s="17" t="n"/>
    </row>
    <row r="23" ht="15.75" customHeight="1">
      <c r="A23" s="16" t="n"/>
      <c r="B23" s="17" t="n"/>
      <c r="C23" s="17" t="n"/>
      <c r="D23" s="17" t="n"/>
    </row>
    <row r="24" ht="15.75" customHeight="1">
      <c r="A24" s="16" t="n"/>
      <c r="B24" s="17" t="n"/>
      <c r="C24" s="17" t="n"/>
      <c r="D24" s="17" t="n"/>
    </row>
    <row r="25" ht="15.75" customHeight="1">
      <c r="A25" s="16" t="n"/>
      <c r="B25" s="17" t="n"/>
      <c r="C25" s="17" t="n"/>
      <c r="D25" s="17" t="n"/>
    </row>
    <row r="26" ht="15.75" customHeight="1">
      <c r="A26" s="16" t="n"/>
      <c r="B26" s="17" t="n"/>
      <c r="C26" s="17" t="n"/>
      <c r="D26" s="17" t="n"/>
    </row>
    <row r="27" ht="15.75" customHeight="1">
      <c r="A27" s="16" t="n"/>
      <c r="B27" s="17" t="n"/>
      <c r="C27" s="17" t="n"/>
      <c r="D27" s="17" t="n"/>
    </row>
    <row r="28" ht="15.75" customHeight="1">
      <c r="A28" s="16" t="n"/>
      <c r="B28" s="17" t="n"/>
      <c r="C28" s="17" t="n"/>
      <c r="D28" s="17" t="n"/>
    </row>
    <row r="29" ht="15.75" customHeight="1">
      <c r="A29" s="16" t="n"/>
      <c r="B29" s="17" t="n"/>
      <c r="C29" s="17" t="n"/>
      <c r="D29" s="17" t="n"/>
    </row>
    <row r="30" ht="15.75" customHeight="1">
      <c r="A30" s="16" t="n"/>
      <c r="B30" s="17" t="n"/>
      <c r="C30" s="17" t="n"/>
      <c r="D30" s="17" t="n"/>
    </row>
    <row r="31" ht="15.75" customHeight="1">
      <c r="A31" s="16" t="n"/>
      <c r="B31" s="17" t="n"/>
      <c r="C31" s="17" t="n"/>
      <c r="D31" s="17" t="n"/>
    </row>
    <row r="32" ht="15.75" customHeight="1">
      <c r="A32" s="16" t="n"/>
      <c r="B32" s="17" t="n"/>
      <c r="C32" s="17" t="n"/>
      <c r="D32" s="17" t="n"/>
    </row>
    <row r="33" ht="15.75" customHeight="1">
      <c r="A33" s="16" t="n"/>
      <c r="B33" s="17" t="n"/>
      <c r="C33" s="17" t="n"/>
      <c r="D33" s="17" t="n"/>
    </row>
    <row r="34" ht="15.75" customHeight="1">
      <c r="A34" s="16" t="n"/>
      <c r="B34" s="17" t="n"/>
      <c r="C34" s="17" t="n"/>
      <c r="D34" s="17" t="n"/>
    </row>
    <row r="35" ht="15.75" customHeight="1">
      <c r="A35" s="16" t="n"/>
      <c r="B35" s="17" t="n"/>
      <c r="C35" s="17" t="n"/>
      <c r="D35" s="17" t="n"/>
    </row>
    <row r="36" ht="15.75" customHeight="1">
      <c r="A36" s="16" t="n"/>
      <c r="B36" s="17" t="n"/>
      <c r="C36" s="17" t="n"/>
      <c r="D36" s="17" t="n"/>
    </row>
    <row r="37" ht="15.75" customHeight="1">
      <c r="A37" s="16" t="n"/>
      <c r="B37" s="17" t="n"/>
      <c r="C37" s="17" t="n"/>
      <c r="D37" s="17" t="n"/>
    </row>
    <row r="38" ht="15.75" customHeight="1">
      <c r="A38" s="16" t="n"/>
      <c r="B38" s="17" t="n"/>
      <c r="C38" s="17" t="n"/>
      <c r="D38" s="17" t="n"/>
    </row>
    <row r="39" ht="15.75" customHeight="1">
      <c r="A39" s="16" t="n"/>
      <c r="B39" s="17" t="n"/>
      <c r="C39" s="17" t="n"/>
      <c r="D39" s="17" t="n"/>
    </row>
    <row r="40" ht="15.75" customHeight="1">
      <c r="A40" s="16" t="n"/>
      <c r="B40" s="17" t="n"/>
      <c r="C40" s="17" t="n"/>
      <c r="D40" s="17" t="n"/>
    </row>
    <row r="41" ht="15.75" customHeight="1">
      <c r="A41" s="16" t="n"/>
      <c r="B41" s="17" t="n"/>
      <c r="C41" s="17" t="n"/>
      <c r="D41" s="17" t="n"/>
    </row>
    <row r="42" ht="15.75" customHeight="1">
      <c r="A42" s="16" t="n"/>
      <c r="B42" s="17" t="n"/>
      <c r="C42" s="17" t="n"/>
      <c r="D42" s="17" t="n"/>
    </row>
    <row r="43" ht="15.75" customHeight="1">
      <c r="A43" s="16" t="n"/>
      <c r="B43" s="17" t="n"/>
      <c r="C43" s="17" t="n"/>
      <c r="D43" s="17" t="n"/>
    </row>
    <row r="44" ht="15.75" customHeight="1">
      <c r="A44" s="16" t="n"/>
      <c r="B44" s="17" t="n"/>
      <c r="C44" s="17" t="n"/>
      <c r="D44" s="17" t="n"/>
    </row>
    <row r="45" ht="15.75" customHeight="1">
      <c r="A45" s="16" t="n"/>
      <c r="B45" s="17" t="n"/>
      <c r="C45" s="17" t="n"/>
      <c r="D45" s="17" t="n"/>
    </row>
    <row r="46" ht="15.75" customHeight="1">
      <c r="A46" s="16" t="n"/>
      <c r="B46" s="17" t="n"/>
      <c r="C46" s="17" t="n"/>
      <c r="D46" s="17" t="n"/>
    </row>
    <row r="47" ht="15.75" customHeight="1">
      <c r="A47" s="16" t="n"/>
      <c r="B47" s="17" t="n"/>
      <c r="C47" s="17" t="n"/>
      <c r="D47" s="17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Y24"/>
  <sheetViews>
    <sheetView workbookViewId="0">
      <selection activeCell="A1" sqref="A1"/>
    </sheetView>
  </sheetViews>
  <sheetFormatPr baseColWidth="8" defaultRowHeight="15"/>
  <cols>
    <col width="12" customWidth="1" min="1" max="1"/>
    <col width="28" customWidth="1" min="2" max="2"/>
    <col width="34" customWidth="1" min="3" max="3"/>
    <col width="11" customWidth="1" min="4" max="4"/>
    <col width="11" customWidth="1" min="5" max="5"/>
    <col width="11" customWidth="1" min="6" max="6"/>
    <col width="13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4" customWidth="1" min="15" max="15"/>
    <col width="16" customWidth="1" min="16" max="16"/>
    <col width="12" customWidth="1" min="17" max="17"/>
    <col width="12" customWidth="1" min="18" max="18"/>
    <col width="12" customWidth="1" min="19" max="19"/>
    <col width="12" customWidth="1" min="20" max="20"/>
    <col width="14" customWidth="1" min="21" max="21"/>
  </cols>
  <sheetData>
    <row r="1">
      <c r="A1" s="97" t="inlineStr">
        <is>
          <t>Figure 3 Hard-Chain Audit</t>
        </is>
      </c>
    </row>
    <row r="2">
      <c r="A2" s="98" t="inlineStr">
        <is>
          <t>Source workbook copied from:</t>
        </is>
      </c>
      <c r="B2" t="inlineStr">
        <is>
          <t>C:\Users\Tanner\Documents\Learning Resources\Classes\0_Spring_2024\PC-SAFT Calculations - Part 1 - Helmholtz Free Energy.xlsm</t>
        </is>
      </c>
    </row>
    <row r="3">
      <c r="A3" s="98" t="inlineStr">
        <is>
          <t>Audit basis:</t>
        </is>
      </c>
      <c r="B3" s="99" t="inlineStr">
        <is>
          <t>Infinite-dilution water hydration path used by the 2020 Figure 3 scripts</t>
        </is>
      </c>
    </row>
    <row r="4">
      <c r="A4" s="98" t="inlineStr">
        <is>
          <t>Notes:</t>
        </is>
      </c>
      <c r="B4" s="99" t="inlineStr">
        <is>
          <t>This workbook keeps only the active 2020 setting d_ion_mode = 1. The detail section compares workbook-style hard-chain equations against package values at the same infinite-dilution state.</t>
        </is>
      </c>
    </row>
    <row r="7">
      <c r="A7" s="100" t="inlineStr">
        <is>
          <t>Ion</t>
        </is>
      </c>
      <c r="B7" s="100" t="inlineStr">
        <is>
          <t>Paper hc</t>
        </is>
      </c>
      <c r="C7" s="100" t="inlineStr">
        <is>
          <t>mode1 hc</t>
        </is>
      </c>
      <c r="D7" s="100" t="inlineStr">
        <is>
          <t>mode1 - paper</t>
        </is>
      </c>
    </row>
    <row r="8">
      <c r="A8" t="inlineStr">
        <is>
          <t>Li+</t>
        </is>
      </c>
      <c r="B8" t="n">
        <v>13.46153846</v>
      </c>
      <c r="C8" t="n">
        <v>24.76498493936004</v>
      </c>
      <c r="D8" t="n">
        <v>11.30344647936004</v>
      </c>
    </row>
    <row r="9">
      <c r="A9" t="inlineStr">
        <is>
          <t>Na+</t>
        </is>
      </c>
      <c r="B9" t="n">
        <v>13.46153846</v>
      </c>
      <c r="C9" t="n">
        <v>24.39854773358544</v>
      </c>
      <c r="D9" t="n">
        <v>10.93700927358544</v>
      </c>
    </row>
    <row r="10">
      <c r="A10" t="inlineStr">
        <is>
          <t>K+</t>
        </is>
      </c>
      <c r="B10" t="n">
        <v>14.1025641</v>
      </c>
      <c r="C10" t="n">
        <v>34.2238762494238</v>
      </c>
      <c r="D10" t="n">
        <v>20.12131214942379</v>
      </c>
    </row>
    <row r="11">
      <c r="A11" t="inlineStr">
        <is>
          <t>F-</t>
        </is>
      </c>
      <c r="B11" t="n">
        <v>7.051282051</v>
      </c>
      <c r="C11" t="n">
        <v>10.75797255121009</v>
      </c>
      <c r="D11" t="n">
        <v>3.706690500210089</v>
      </c>
    </row>
    <row r="12">
      <c r="A12" t="inlineStr">
        <is>
          <t>Cl-</t>
        </is>
      </c>
      <c r="B12" t="n">
        <v>14.1025641</v>
      </c>
      <c r="C12" t="n">
        <v>23.28746550462324</v>
      </c>
      <c r="D12" t="n">
        <v>9.184901404623238</v>
      </c>
    </row>
    <row r="13">
      <c r="A13" t="inlineStr">
        <is>
          <t>Br-</t>
        </is>
      </c>
      <c r="B13" t="n">
        <v>13.46153846</v>
      </c>
      <c r="C13" t="n">
        <v>28.80519180230628</v>
      </c>
      <c r="D13" t="n">
        <v>15.34365334230628</v>
      </c>
    </row>
    <row r="14">
      <c r="A14" t="inlineStr">
        <is>
          <t>I-</t>
        </is>
      </c>
      <c r="B14" t="n">
        <v>14.1025641</v>
      </c>
      <c r="C14" t="n">
        <v>41.60490519564126</v>
      </c>
      <c r="D14" t="n">
        <v>27.50234109564126</v>
      </c>
    </row>
    <row r="17">
      <c r="A17" s="101" t="inlineStr">
        <is>
          <t>Ion</t>
        </is>
      </c>
      <c r="B17" s="101" t="inlineStr">
        <is>
          <t>Species order</t>
        </is>
      </c>
      <c r="C17" s="101" t="inlineStr">
        <is>
          <t>x_inf</t>
        </is>
      </c>
      <c r="D17" s="101" t="inlineStr">
        <is>
          <t>m_ion</t>
        </is>
      </c>
      <c r="E17" s="101" t="inlineStr">
        <is>
          <t>sigma_ion</t>
        </is>
      </c>
      <c r="F17" s="101" t="inlineStr">
        <is>
          <t>epsilon_ion</t>
        </is>
      </c>
      <c r="G17" s="101" t="inlineStr">
        <is>
          <t>d_ion(mode1)</t>
        </is>
      </c>
      <c r="H17" s="101" t="inlineStr">
        <is>
          <t>zeta0</t>
        </is>
      </c>
      <c r="I17" s="101" t="inlineStr">
        <is>
          <t>zeta1</t>
        </is>
      </c>
      <c r="J17" s="101" t="inlineStr">
        <is>
          <t>zeta2</t>
        </is>
      </c>
      <c r="K17" s="101" t="inlineStr">
        <is>
          <t>zeta3</t>
        </is>
      </c>
      <c r="L17" s="101" t="inlineStr">
        <is>
          <t>ghs_ii</t>
        </is>
      </c>
      <c r="M17" s="101" t="inlineStr">
        <is>
          <t>excel-style a_hs</t>
        </is>
      </c>
      <c r="N17" s="101" t="inlineStr">
        <is>
          <t>excel-style a_hc</t>
        </is>
      </c>
      <c r="O17" s="101" t="inlineStr">
        <is>
          <t>package a_hc</t>
        </is>
      </c>
      <c r="P17" s="101" t="inlineStr">
        <is>
          <t>delta a_hc</t>
        </is>
      </c>
      <c r="Q17" s="101" t="inlineStr">
        <is>
          <t>dadx_hc(i)</t>
        </is>
      </c>
      <c r="R17" s="101" t="inlineStr">
        <is>
          <t>sum_x_dadx_hc</t>
        </is>
      </c>
      <c r="S17" s="101" t="inlineStr">
        <is>
          <t>z_raw_hc</t>
        </is>
      </c>
      <c r="T17" s="101" t="inlineStr">
        <is>
          <t>excel-style mu_hc</t>
        </is>
      </c>
      <c r="U17" s="101" t="inlineStr">
        <is>
          <t>mu_hc</t>
        </is>
      </c>
      <c r="V17" s="101" t="inlineStr">
        <is>
          <t>delta mu_hc</t>
        </is>
      </c>
      <c r="W17" s="101" t="inlineStr">
        <is>
          <t>lnfug_hc</t>
        </is>
      </c>
      <c r="X17" s="101" t="inlineStr">
        <is>
          <t>paper hc</t>
        </is>
      </c>
      <c r="Y17" s="101" t="inlineStr">
        <is>
          <t>mu_hc - paper</t>
        </is>
      </c>
    </row>
    <row r="18">
      <c r="A18" t="inlineStr">
        <is>
          <t>Li+</t>
        </is>
      </c>
      <c r="B18" t="inlineStr">
        <is>
          <t>Li+, Cl-, Water</t>
        </is>
      </c>
      <c r="C18" t="inlineStr">
        <is>
          <t>1.000e-12, 0.000e+00, 1.000e+00</t>
        </is>
      </c>
      <c r="D18" t="n">
        <v>1</v>
      </c>
      <c r="E18" t="n">
        <v>2.8449</v>
      </c>
      <c r="F18" t="n">
        <v>360</v>
      </c>
      <c r="G18" t="n">
        <v>2.503512</v>
      </c>
      <c r="H18" t="n">
        <v>0.02102183242770939</v>
      </c>
      <c r="I18" t="n">
        <v>0.05859895678549788</v>
      </c>
      <c r="J18" t="n">
        <v>0.1633462614715952</v>
      </c>
      <c r="K18" t="n">
        <v>0.4553323574413912</v>
      </c>
      <c r="L18" t="n">
        <v>4.421158793781703</v>
      </c>
      <c r="M18" t="n">
        <v>4.042794032202824</v>
      </c>
      <c r="N18" t="n">
        <v>4.550121272152924</v>
      </c>
      <c r="O18" t="n">
        <v>4.550121272152924</v>
      </c>
      <c r="P18" t="n">
        <v>0</v>
      </c>
      <c r="Q18" t="n">
        <v>24.76498493936006</v>
      </c>
      <c r="R18" t="n">
        <v>36.15490616990355</v>
      </c>
      <c r="S18" t="n">
        <v>10.03460356904475</v>
      </c>
      <c r="T18" t="n">
        <v>24.76498493936004</v>
      </c>
      <c r="U18" t="n">
        <v>24.76498493936004</v>
      </c>
      <c r="V18" t="n">
        <v>0</v>
      </c>
      <c r="W18" t="n">
        <v>-155.0541187868385</v>
      </c>
      <c r="X18" t="n">
        <v>13.46153846</v>
      </c>
      <c r="Y18" t="n">
        <v>11.30344647936004</v>
      </c>
    </row>
    <row r="19">
      <c r="A19" t="inlineStr">
        <is>
          <t>Na+</t>
        </is>
      </c>
      <c r="B19" t="inlineStr">
        <is>
          <t>Na+, Cl-, Water</t>
        </is>
      </c>
      <c r="C19" t="inlineStr">
        <is>
          <t>1.000e-12, 0.000e+00, 1.000e+00</t>
        </is>
      </c>
      <c r="D19" t="n">
        <v>1</v>
      </c>
      <c r="E19" t="n">
        <v>2.8232</v>
      </c>
      <c r="F19" t="n">
        <v>230</v>
      </c>
      <c r="G19" t="n">
        <v>2.484416</v>
      </c>
      <c r="H19" t="n">
        <v>0.02102183239424739</v>
      </c>
      <c r="I19" t="n">
        <v>0.05859895669222126</v>
      </c>
      <c r="J19" t="n">
        <v>0.1633462612115832</v>
      </c>
      <c r="K19" t="n">
        <v>0.4553323567165988</v>
      </c>
      <c r="L19" t="n">
        <v>4.397522804252357</v>
      </c>
      <c r="M19" t="n">
        <v>4.042794018345345</v>
      </c>
      <c r="N19" t="n">
        <v>4.550121256179955</v>
      </c>
      <c r="O19" t="n">
        <v>4.550121256179955</v>
      </c>
      <c r="P19" t="n">
        <v>0</v>
      </c>
      <c r="Q19" t="n">
        <v>24.39854773358545</v>
      </c>
      <c r="R19" t="n">
        <v>36.15490600074457</v>
      </c>
      <c r="S19" t="n">
        <v>10.03460351677975</v>
      </c>
      <c r="T19" t="n">
        <v>24.39854773358544</v>
      </c>
      <c r="U19" t="n">
        <v>24.39854773358544</v>
      </c>
      <c r="V19" t="n">
        <v>0</v>
      </c>
      <c r="W19" t="n">
        <v>-155.4223395697115</v>
      </c>
      <c r="X19" t="n">
        <v>13.46153846</v>
      </c>
      <c r="Y19" t="n">
        <v>10.93700927358544</v>
      </c>
    </row>
    <row r="20">
      <c r="A20" t="inlineStr">
        <is>
          <t>K+</t>
        </is>
      </c>
      <c r="B20" t="inlineStr">
        <is>
          <t>K+, Cl-, Water</t>
        </is>
      </c>
      <c r="C20" t="inlineStr">
        <is>
          <t>1.000e-12, 0.000e+00, 1.000e+00</t>
        </is>
      </c>
      <c r="D20" t="n">
        <v>1</v>
      </c>
      <c r="E20" t="n">
        <v>3.3417</v>
      </c>
      <c r="F20" t="n">
        <v>200</v>
      </c>
      <c r="G20" t="n">
        <v>2.940696</v>
      </c>
      <c r="H20" t="n">
        <v>0.02102183229077616</v>
      </c>
      <c r="I20" t="n">
        <v>0.05859895640380022</v>
      </c>
      <c r="J20" t="n">
        <v>0.1633462604076223</v>
      </c>
      <c r="K20" t="n">
        <v>0.4553323544755907</v>
      </c>
      <c r="L20" t="n">
        <v>4.97875078276367</v>
      </c>
      <c r="M20" t="n">
        <v>4.042793975499057</v>
      </c>
      <c r="N20" t="n">
        <v>4.550121206792756</v>
      </c>
      <c r="O20" t="n">
        <v>4.550121206792756</v>
      </c>
      <c r="P20" t="n">
        <v>0</v>
      </c>
      <c r="Q20" t="n">
        <v>34.2238762494238</v>
      </c>
      <c r="R20" t="n">
        <v>36.15490547771758</v>
      </c>
      <c r="S20" t="n">
        <v>10.03460335518024</v>
      </c>
      <c r="T20" t="n">
        <v>34.2238762494238</v>
      </c>
      <c r="U20" t="n">
        <v>34.2238762494238</v>
      </c>
      <c r="V20" t="n">
        <v>0</v>
      </c>
      <c r="W20" t="n">
        <v>-145.6025270486742</v>
      </c>
      <c r="X20" t="n">
        <v>14.1025641</v>
      </c>
      <c r="Y20" t="n">
        <v>20.12131214942379</v>
      </c>
    </row>
    <row r="21">
      <c r="A21" t="inlineStr">
        <is>
          <t>F-</t>
        </is>
      </c>
      <c r="B21" t="inlineStr">
        <is>
          <t>Na+, F-, Water</t>
        </is>
      </c>
      <c r="C21" t="inlineStr">
        <is>
          <t>0.000e+00, 1.000e-12, 1.000e+00</t>
        </is>
      </c>
      <c r="D21" t="n">
        <v>1</v>
      </c>
      <c r="E21" t="n">
        <v>1.7712</v>
      </c>
      <c r="F21" t="n">
        <v>275</v>
      </c>
      <c r="G21" t="n">
        <v>1.558656</v>
      </c>
      <c r="H21" t="n">
        <v>0.0210218324837098</v>
      </c>
      <c r="I21" t="n">
        <v>0.05859895694158412</v>
      </c>
      <c r="J21" t="n">
        <v>0.163346261906669</v>
      </c>
      <c r="K21" t="n">
        <v>0.4553323586541508</v>
      </c>
      <c r="L21" t="n">
        <v>3.323888246702347</v>
      </c>
      <c r="M21" t="n">
        <v>4.042794055388969</v>
      </c>
      <c r="N21" t="n">
        <v>4.550121298878622</v>
      </c>
      <c r="O21" t="n">
        <v>4.550121298878622</v>
      </c>
      <c r="P21" t="n">
        <v>0</v>
      </c>
      <c r="Q21" t="n">
        <v>10.75797255121008</v>
      </c>
      <c r="R21" t="n">
        <v>36.15490645293985</v>
      </c>
      <c r="S21" t="n">
        <v>10.03460365649461</v>
      </c>
      <c r="T21" t="n">
        <v>10.75797255121009</v>
      </c>
      <c r="U21" t="n">
        <v>10.75797255121009</v>
      </c>
      <c r="V21" t="n">
        <v>0</v>
      </c>
      <c r="W21" t="n">
        <v>-169.0581466259552</v>
      </c>
      <c r="X21" t="n">
        <v>7.051282051</v>
      </c>
      <c r="Y21" t="n">
        <v>3.706690500210089</v>
      </c>
    </row>
    <row r="22">
      <c r="A22" t="inlineStr">
        <is>
          <t>Cl-</t>
        </is>
      </c>
      <c r="B22" t="inlineStr">
        <is>
          <t>Na+, Cl-, Water</t>
        </is>
      </c>
      <c r="C22" t="inlineStr">
        <is>
          <t>0.000e+00, 1.000e-12, 1.000e+00</t>
        </is>
      </c>
      <c r="D22" t="n">
        <v>1</v>
      </c>
      <c r="E22" t="n">
        <v>2.756</v>
      </c>
      <c r="F22" t="n">
        <v>170</v>
      </c>
      <c r="G22" t="n">
        <v>2.42528</v>
      </c>
      <c r="H22" t="n">
        <v>0.02102183239424875</v>
      </c>
      <c r="I22" t="n">
        <v>0.05859895669222401</v>
      </c>
      <c r="J22" t="n">
        <v>0.1633462612115887</v>
      </c>
      <c r="K22" t="n">
        <v>0.4553323567166095</v>
      </c>
      <c r="L22" t="n">
        <v>4.32470949883864</v>
      </c>
      <c r="M22" t="n">
        <v>4.042794018345524</v>
      </c>
      <c r="N22" t="n">
        <v>4.550121256180159</v>
      </c>
      <c r="O22" t="n">
        <v>4.550121256180159</v>
      </c>
      <c r="P22" t="n">
        <v>0</v>
      </c>
      <c r="Q22" t="n">
        <v>23.28746550462324</v>
      </c>
      <c r="R22" t="n">
        <v>36.15490600074677</v>
      </c>
      <c r="S22" t="n">
        <v>10.03460351678044</v>
      </c>
      <c r="T22" t="n">
        <v>23.28746550462324</v>
      </c>
      <c r="U22" t="n">
        <v>23.28746550462324</v>
      </c>
      <c r="V22" t="n">
        <v>0</v>
      </c>
      <c r="W22" t="n">
        <v>-156.5334217993804</v>
      </c>
      <c r="X22" t="n">
        <v>14.1025641</v>
      </c>
      <c r="Y22" t="n">
        <v>9.184901404623238</v>
      </c>
    </row>
    <row r="23">
      <c r="A23" t="inlineStr">
        <is>
          <t>Br-</t>
        </is>
      </c>
      <c r="B23" t="inlineStr">
        <is>
          <t>Na+, Br-, Water</t>
        </is>
      </c>
      <c r="C23" t="inlineStr">
        <is>
          <t>0.000e+00, 1.000e-12, 1.000e+00</t>
        </is>
      </c>
      <c r="D23" t="n">
        <v>1</v>
      </c>
      <c r="E23" t="n">
        <v>3.0707</v>
      </c>
      <c r="F23" t="n">
        <v>190</v>
      </c>
      <c r="G23" t="n">
        <v>2.702216</v>
      </c>
      <c r="H23" t="n">
        <v>0.02102183235482802</v>
      </c>
      <c r="I23" t="n">
        <v>0.05859895658234245</v>
      </c>
      <c r="J23" t="n">
        <v>0.163346260905302</v>
      </c>
      <c r="K23" t="n">
        <v>0.455332355862853</v>
      </c>
      <c r="L23" t="n">
        <v>4.670676807993637</v>
      </c>
      <c r="M23" t="n">
        <v>4.042794002022453</v>
      </c>
      <c r="N23" t="n">
        <v>4.550121237365214</v>
      </c>
      <c r="O23" t="n">
        <v>4.550121237365214</v>
      </c>
      <c r="P23" t="n">
        <v>0</v>
      </c>
      <c r="Q23" t="n">
        <v>28.80519180230628</v>
      </c>
      <c r="R23" t="n">
        <v>36.15490580149003</v>
      </c>
      <c r="S23" t="n">
        <v>10.03460345521612</v>
      </c>
      <c r="T23" t="n">
        <v>28.80519180230628</v>
      </c>
      <c r="U23" t="n">
        <v>28.80519180230628</v>
      </c>
      <c r="V23" t="n">
        <v>0</v>
      </c>
      <c r="W23" t="n">
        <v>-151.0177968543902</v>
      </c>
      <c r="X23" t="n">
        <v>13.46153846</v>
      </c>
      <c r="Y23" t="n">
        <v>15.34365334230628</v>
      </c>
    </row>
    <row r="24">
      <c r="A24" t="inlineStr">
        <is>
          <t>I-</t>
        </is>
      </c>
      <c r="B24" t="inlineStr">
        <is>
          <t>Na+, I-, Water</t>
        </is>
      </c>
      <c r="C24" t="inlineStr">
        <is>
          <t>0.000e+00, 1.000e-12, 1.000e+00</t>
        </is>
      </c>
      <c r="D24" t="n">
        <v>1</v>
      </c>
      <c r="E24" t="n">
        <v>3.6672</v>
      </c>
      <c r="F24" t="n">
        <v>200</v>
      </c>
      <c r="G24" t="n">
        <v>3.227136</v>
      </c>
      <c r="H24" t="n">
        <v>0.0210218322507694</v>
      </c>
      <c r="I24" t="n">
        <v>0.05859895629228524</v>
      </c>
      <c r="J24" t="n">
        <v>0.163346260096788</v>
      </c>
      <c r="K24" t="n">
        <v>0.4553323536091881</v>
      </c>
      <c r="L24" t="n">
        <v>5.361194856217983</v>
      </c>
      <c r="M24" t="n">
        <v>4.042793958933953</v>
      </c>
      <c r="N24" t="n">
        <v>4.550121187698827</v>
      </c>
      <c r="O24" t="n">
        <v>4.550121187698827</v>
      </c>
      <c r="P24" t="n">
        <v>0</v>
      </c>
      <c r="Q24" t="n">
        <v>41.60490519564125</v>
      </c>
      <c r="R24" t="n">
        <v>36.15490527550684</v>
      </c>
      <c r="S24" t="n">
        <v>10.03460329270328</v>
      </c>
      <c r="T24" t="n">
        <v>41.60490519564126</v>
      </c>
      <c r="U24" t="n">
        <v>41.60490519564126</v>
      </c>
      <c r="V24" t="n">
        <v>0</v>
      </c>
      <c r="W24" t="n">
        <v>-138.2236312465609</v>
      </c>
      <c r="X24" t="n">
        <v>14.1025641</v>
      </c>
      <c r="Y24" t="n">
        <v>27.50234109564126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Daniel Belton</dc:creator>
  <dcterms:created xsi:type="dcterms:W3CDTF">2006-11-04T01:18:18Z</dcterms:created>
  <dcterms:modified xsi:type="dcterms:W3CDTF">2026-03-20T18:27:26Z</dcterms:modified>
  <cp:lastModifiedBy>daniel</cp:lastModifiedBy>
  <cp:lastPrinted>2020-07-15T17:48:52Z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FormulaDeskUniqueName" fmtid="{D5CDD505-2E9C-101B-9397-08002B2CF9AE}" pid="2">
    <vt:lpwstr>9348d843-651d-4ace-b2ad-ba88bb5c4ce2</vt:lpwstr>
  </property>
</Properties>
</file>